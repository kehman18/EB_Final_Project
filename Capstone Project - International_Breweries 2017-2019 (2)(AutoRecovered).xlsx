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DataAnalytics\Edubridge Academy\Notes Arranged\Final Projects\EB_Final_Project\"/>
    </mc:Choice>
  </mc:AlternateContent>
  <xr:revisionPtr revIDLastSave="0" documentId="13_ncr:2001_{633EB3A9-AD5E-4922-8DDC-EB45CCF3B4E0}" xr6:coauthVersionLast="47" xr6:coauthVersionMax="47" xr10:uidLastSave="{00000000-0000-0000-0000-000000000000}"/>
  <bookViews>
    <workbookView xWindow="28680" yWindow="1170" windowWidth="29040" windowHeight="16440" firstSheet="1" activeTab="6" xr2:uid="{00000000-000D-0000-FFFF-FFFF00000000}"/>
  </bookViews>
  <sheets>
    <sheet name="Home Page" sheetId="4" r:id="rId1"/>
    <sheet name="Instructions" sheetId="2" r:id="rId2"/>
    <sheet name="International_Breweries" sheetId="1" r:id="rId3"/>
    <sheet name="Countries_Analysis" sheetId="7" r:id="rId4"/>
    <sheet name="Profit_Analysis" sheetId="8" r:id="rId5"/>
    <sheet name="Brand_Analysis" sheetId="6" r:id="rId6"/>
    <sheet name="Chart_Sheet" sheetId="10" r:id="rId7"/>
  </sheets>
  <definedNames>
    <definedName name="Avg_Order_Value">Countries_Analysis!$F$11</definedName>
    <definedName name="Most_Consumed_Brand">Profit_Analysis!$B$48</definedName>
    <definedName name="Northcentral">Brand_Analysis!$B$18</definedName>
    <definedName name="Northeast">Brand_Analysis!$B$19</definedName>
    <definedName name="Northwest">Brand_Analysis!$B$20</definedName>
    <definedName name="Quantity_Sold">Brand_Analysis!$B$11</definedName>
    <definedName name="Slicer_BRANDS">#N/A</definedName>
    <definedName name="Slicer_COUNTRIES">#N/A</definedName>
    <definedName name="Slicer_MONTHS">#N/A</definedName>
    <definedName name="Slicer_TERRITORIES">#N/A</definedName>
    <definedName name="Slicer_YEARS">#N/A</definedName>
    <definedName name="Southeast">Brand_Analysis!$B$21</definedName>
    <definedName name="Southsouth">Brand_Analysis!$B$22</definedName>
    <definedName name="Top_Profitable_Country">Countries_Analysis!$C$9</definedName>
    <definedName name="Total_Profit">Countries_Analysis!$C$10</definedName>
    <definedName name="Total_Revenue">Countries_Analysis!$B$22</definedName>
    <definedName name="west">Brand_Analysis!$B$23</definedName>
  </definedNames>
  <calcPr calcId="191029"/>
  <pivotCaches>
    <pivotCache cacheId="31"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7" l="1"/>
  <c r="B11" i="6"/>
  <c r="F11" i="7" s="1"/>
  <c r="C9" i="7"/>
  <c r="B48" i="8"/>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2" i="1" a="1"/>
  <c r="O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<sst xmlns="http://schemas.openxmlformats.org/spreadsheetml/2006/main" count="6389" uniqueCount="104">
  <si>
    <t>SALES_ID</t>
  </si>
  <si>
    <t>SALES_REP</t>
  </si>
  <si>
    <t>EMAILS</t>
  </si>
  <si>
    <t>BRANDS</t>
  </si>
  <si>
    <t>PLANT_COST</t>
  </si>
  <si>
    <t>UNIT_PRICE</t>
  </si>
  <si>
    <t>QUANTITY</t>
  </si>
  <si>
    <t>PROFIT</t>
  </si>
  <si>
    <t>COUNTRIES</t>
  </si>
  <si>
    <t>REGION</t>
  </si>
  <si>
    <t>MONTHS</t>
  </si>
  <si>
    <t>YEARS</t>
  </si>
  <si>
    <t>Jardine</t>
  </si>
  <si>
    <t>jard@gmail.com</t>
  </si>
  <si>
    <t>Ghana</t>
  </si>
  <si>
    <t>Southeast</t>
  </si>
  <si>
    <t>January</t>
  </si>
  <si>
    <t>Gill</t>
  </si>
  <si>
    <t>gillhell@uk.com</t>
  </si>
  <si>
    <t>Nigeria</t>
  </si>
  <si>
    <t>west</t>
  </si>
  <si>
    <t>February</t>
  </si>
  <si>
    <t>Sorvino</t>
  </si>
  <si>
    <t>sorvi2000@gmail.com</t>
  </si>
  <si>
    <t>Togo</t>
  </si>
  <si>
    <t>March</t>
  </si>
  <si>
    <t>Jones</t>
  </si>
  <si>
    <t>jone.ai@yahoo.com</t>
  </si>
  <si>
    <t>Benin</t>
  </si>
  <si>
    <t>April</t>
  </si>
  <si>
    <t>Andrews</t>
  </si>
  <si>
    <t>andy@gmail.com</t>
  </si>
  <si>
    <t>Senegal</t>
  </si>
  <si>
    <t>May</t>
  </si>
  <si>
    <t>June</t>
  </si>
  <si>
    <t>Thompson</t>
  </si>
  <si>
    <t>thomp@uk.com</t>
  </si>
  <si>
    <t>July</t>
  </si>
  <si>
    <t>August</t>
  </si>
  <si>
    <t>Morgan</t>
  </si>
  <si>
    <t>morganny@gmail.com</t>
  </si>
  <si>
    <t>September</t>
  </si>
  <si>
    <t>Howard</t>
  </si>
  <si>
    <t>howard_freeman@yahoo.com</t>
  </si>
  <si>
    <t>October</t>
  </si>
  <si>
    <t>Parent</t>
  </si>
  <si>
    <t>parentty@uk.com</t>
  </si>
  <si>
    <t>November</t>
  </si>
  <si>
    <t>December</t>
  </si>
  <si>
    <t>Smith</t>
  </si>
  <si>
    <t>smithMan@yahoo.com</t>
  </si>
  <si>
    <t>Kivell</t>
  </si>
  <si>
    <t>kivel_go@yahoo.com</t>
  </si>
  <si>
    <t xml:space="preserve">Using the </t>
  </si>
  <si>
    <t>data provided on the next page,</t>
  </si>
  <si>
    <t>attempt the following operations in Microsoft Excel</t>
  </si>
  <si>
    <t>Brands</t>
  </si>
  <si>
    <t>REVENUE</t>
  </si>
  <si>
    <t>West</t>
  </si>
  <si>
    <t>Southsouth</t>
  </si>
  <si>
    <t>Northwest</t>
  </si>
  <si>
    <t>Northeast</t>
  </si>
  <si>
    <t>Northcentral</t>
  </si>
  <si>
    <t>Trophy</t>
  </si>
  <si>
    <t>Budweiser</t>
  </si>
  <si>
    <t>Castle Lite</t>
  </si>
  <si>
    <t>Eagle Lager</t>
  </si>
  <si>
    <t>Hero</t>
  </si>
  <si>
    <t>Beta Malt</t>
  </si>
  <si>
    <t>Grand Malt</t>
  </si>
  <si>
    <t>TERRITORIES</t>
  </si>
  <si>
    <t>Anglophone</t>
  </si>
  <si>
    <t>Grand Total</t>
  </si>
  <si>
    <t xml:space="preserve"> </t>
  </si>
  <si>
    <t>Profit per Territory</t>
  </si>
  <si>
    <t>What Coutry performed the most in profit in 2019?</t>
  </si>
  <si>
    <t>MONTHS_SHORT</t>
  </si>
  <si>
    <t>Total Profit</t>
  </si>
  <si>
    <t>Apr</t>
  </si>
  <si>
    <t>Nov</t>
  </si>
  <si>
    <t>Oct</t>
  </si>
  <si>
    <t>Dec</t>
  </si>
  <si>
    <t>Jul</t>
  </si>
  <si>
    <t>Sep</t>
  </si>
  <si>
    <t>Jun</t>
  </si>
  <si>
    <t>Feb</t>
  </si>
  <si>
    <t>Aug</t>
  </si>
  <si>
    <t>Mar</t>
  </si>
  <si>
    <t>Jan</t>
  </si>
  <si>
    <t xml:space="preserve">Beer Products </t>
  </si>
  <si>
    <t>Total Quantity</t>
  </si>
  <si>
    <t>Total Quanity</t>
  </si>
  <si>
    <t>Total Revenue</t>
  </si>
  <si>
    <t>Sales Person</t>
  </si>
  <si>
    <t>Country</t>
  </si>
  <si>
    <t>Region</t>
  </si>
  <si>
    <t>Total Profit Per Month Per Year</t>
  </si>
  <si>
    <t>SELLING COST</t>
  </si>
  <si>
    <t>Top Profitable Country</t>
  </si>
  <si>
    <t>Top Brand Consumed</t>
  </si>
  <si>
    <t>What is the Total Profit made by each Brand?</t>
  </si>
  <si>
    <t>Profit Made</t>
  </si>
  <si>
    <t>Average Order Value</t>
  </si>
  <si>
    <t>Tot_Qty_Sold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</si>
</sst>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11" x14ac:knownFonts="1">
    <font>
      <sz val="10"/>
      <color rgb="FF000000"/>
      <name val="Arial"/>
    </font>
    <font>
      <sz val="10"/>
      <name val="Arial"/>
      <family val="2"/>
    </font>
    <font>
      <sz val="10"/>
      <color rgb="FF000000"/>
      <name val="Arial"/>
      <family val="2"/>
    </font>
    <font>
      <sz val="12"/>
      <color theme="5" tint="-0.499984740745262"/>
      <name val="Arial"/>
      <family val="2"/>
    </font>
    <font>
      <sz val="15"/>
      <color theme="5" tint="-0.499984740745262"/>
      <name val="Arial"/>
      <family val="2"/>
    </font>
    <font>
      <b/>
      <sz val="15"/>
      <color theme="5" tint="-0.499984740745262"/>
      <name val="Arial"/>
      <family val="2"/>
    </font>
    <font>
      <sz val="18"/>
      <color rgb="FF000000"/>
      <name val="Calibri"/>
      <family val="2"/>
    </font>
    <font>
      <sz val="10"/>
      <color rgb="FF000000"/>
      <name val="Arial"/>
      <family val="2"/>
    </font>
    <font>
      <b/>
      <sz val="10"/>
      <name val="Arial"/>
      <family val="2"/>
    </font>
    <font>
      <b/>
      <sz val="10"/>
      <color rgb="FF000000"/>
      <name val="Arial"/>
      <family val="2"/>
    </font>
    <font>
      <b/>
      <sz val="22"/>
      <color rgb="FF000000"/>
      <name val="Arial"/>
      <family val="2"/>
    </font>
  </fonts>
  <fills count="2">
    <fill>
      <patternFill patternType="none"/>
    </fill>
    <fill>
      <patternFill patternType="gray125"/>
    </fill>
  </fills>
  <borders count="1">
    <border>
      <left/>
      <right/>
      <top/>
      <bottom/>
      <diagonal/>
    </border>
  </borders>
  <cellStyleXfs count="3">
    <xf numFmtId="0" fontId="0" fillId="0" borderId="0"/>
    <xf numFmtId="43" fontId="7" fillId="0" borderId="0" applyFont="0" applyFill="0" applyBorder="0" applyAlignment="0" applyProtection="0"/>
    <xf numFmtId="44" fontId="7" fillId="0" borderId="0" applyFont="0" applyFill="0" applyBorder="0" applyAlignment="0" applyProtection="0"/>
  </cellStyleXfs>
  <cellXfs count="2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readingOrder="1"/>
    </xf>
    <xf numFmtId="0" fontId="8" fillId="0" borderId="0" xfId="0" applyFont="1"/>
    <xf numFmtId="0" fontId="9" fillId="0" borderId="0" xfId="0"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right"/>
    </xf>
    <xf numFmtId="164" fontId="9" fillId="0" borderId="0" xfId="0" applyNumberFormat="1" applyFont="1"/>
    <xf numFmtId="164" fontId="9" fillId="0" borderId="0" xfId="2" applyNumberFormat="1" applyFont="1"/>
    <xf numFmtId="165" fontId="0" fillId="0" borderId="0" xfId="0" applyNumberFormat="1"/>
    <xf numFmtId="0" fontId="10" fillId="0" borderId="0" xfId="0" applyFont="1"/>
    <xf numFmtId="165" fontId="0" fillId="0" borderId="0" xfId="1" applyNumberFormat="1" applyFont="1"/>
    <xf numFmtId="165" fontId="9" fillId="0" borderId="0" xfId="1" applyNumberFormat="1" applyFont="1"/>
    <xf numFmtId="0" fontId="9" fillId="0" borderId="0" xfId="0" applyFont="1" applyAlignment="1">
      <alignment horizontal="center"/>
    </xf>
    <xf numFmtId="0" fontId="0" fillId="0" borderId="0" xfId="0" applyAlignment="1">
      <alignment horizontal="center"/>
    </xf>
    <xf numFmtId="164" fontId="2" fillId="0" borderId="0" xfId="0" applyNumberFormat="1" applyFont="1"/>
    <xf numFmtId="0" fontId="0" fillId="0" borderId="0" xfId="0" applyBorder="1"/>
    <xf numFmtId="0" fontId="0" fillId="0" borderId="0" xfId="0" applyNumberFormat="1"/>
    <xf numFmtId="165" fontId="2" fillId="0" borderId="0" xfId="0" applyNumberFormat="1" applyFont="1"/>
    <xf numFmtId="43" fontId="9" fillId="0" borderId="0" xfId="1" applyFont="1"/>
    <xf numFmtId="0" fontId="9" fillId="0" borderId="0" xfId="0" applyFont="1" applyAlignment="1">
      <alignment horizontal="left"/>
    </xf>
  </cellXfs>
  <cellStyles count="3">
    <cellStyle name="Comma" xfId="1" builtinId="3"/>
    <cellStyle name="Currency" xfId="2" builtinId="4"/>
    <cellStyle name="Normal" xfId="0" builtinId="0"/>
  </cellStyles>
  <dxfs count="270">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4" formatCode="_(&quot;$&quot;* #,##0_);_(&quot;$&quot;* \(#,##0\);_(&quot;$&quot;* &quot;-&quot;??_);_(@_)"/>
    </dxf>
    <dxf>
      <alignment horizontal="right"/>
    </dxf>
    <dxf>
      <font>
        <b/>
        <family val="2"/>
      </font>
    </dxf>
    <dxf>
      <numFmt numFmtId="164" formatCode="_(&quot;$&quot;* #,##0_);_(&quot;$&quot;* \(#,##0\);_(&quot;$&quot;* &quot;-&quot;??_);_(@_)"/>
    </dxf>
    <dxf>
      <alignment horizontal="right"/>
    </dxf>
    <dxf>
      <numFmt numFmtId="165" formatCode="_(* #,##0_);_(* \(#,##0\);_(* &quot;-&quot;??_);_(@_)"/>
    </dxf>
    <dxf>
      <border>
        <left/>
        <right/>
        <top/>
        <bottom/>
      </border>
    </dxf>
    <dxf>
      <numFmt numFmtId="164" formatCode="_(&quot;$&quot;* #,##0_);_(&quot;$&quot;* \(#,##0\);_(&quot;$&quot;* &quot;-&quot;??_);_(@_)"/>
    </dxf>
    <dxf>
      <font>
        <b val="0"/>
      </font>
    </dxf>
    <dxf>
      <numFmt numFmtId="164" formatCode="_(&quot;$&quot;* #,##0_);_(&quot;$&quot;* \(#,##0\);_(&quot;$&quot;* &quot;-&quot;??_);_(@_)"/>
    </dxf>
    <dxf>
      <numFmt numFmtId="165" formatCode="_(* #,##0_);_(* \(#,##0\);_(* &quot;-&quot;??_);_(@_)"/>
    </dxf>
    <dxf>
      <alignment horizontal="right"/>
    </dxf>
    <dxf>
      <numFmt numFmtId="165" formatCode="_(* #,##0_);_(* \(#,##0\);_(* &quot;-&quot;??_);_(@_)"/>
    </dxf>
    <dxf>
      <alignment horizontal="right"/>
    </dxf>
    <dxf>
      <numFmt numFmtId="165" formatCode="_(* #,##0_);_(* \(#,##0\);_(* &quot;-&quot;??_);_(@_)"/>
    </dxf>
    <dxf>
      <numFmt numFmtId="165" formatCode="_(* #,##0_);_(* \(#,##0\);_(* &quot;-&quot;??_);_(@_)"/>
    </dxf>
    <dxf>
      <numFmt numFmtId="164" formatCode="_(&quot;$&quot;* #,##0_);_(&quot;$&quot;* \(#,##0\);_(&quot;$&quot;* &quot;-&quot;??_);_(@_)"/>
    </dxf>
    <dxf>
      <alignment horizontal="right"/>
    </dxf>
    <dxf>
      <alignment horizontal="right"/>
    </dxf>
    <dxf>
      <numFmt numFmtId="165" formatCode="_(* #,##0_);_(* \(#,##0\);_(* &quot;-&quot;??_);_(@_)"/>
    </dxf>
    <dxf>
      <font>
        <b val="0"/>
      </font>
    </dxf>
    <dxf>
      <numFmt numFmtId="164" formatCode="_(&quot;$&quot;* #,##0_);_(&quot;$&quot;* \(#,##0\);_(&quot;$&quot;* &quot;-&quot;??_);_(@_)"/>
    </dxf>
    <dxf>
      <numFmt numFmtId="165" formatCode="_(* #,##0_);_(* \(#,##0\);_(* &quot;-&quot;??_);_(@_)"/>
    </dxf>
    <dxf>
      <numFmt numFmtId="165" formatCode="_(* #,##0_);_(* \(#,##0\);_(* &quot;-&quot;??_);_(@_)"/>
    </dxf>
    <dxf>
      <numFmt numFmtId="165" formatCode="_(* #,##0_);_(* \(#,##0\);_(* &quot;-&quot;??_);_(@_)"/>
    </dxf>
    <dxf>
      <font>
        <b/>
        <i val="0"/>
        <sz val="10"/>
        <color theme="1"/>
        <name val="Segoe UI"/>
        <family val="2"/>
        <scheme val="none"/>
      </font>
    </dxf>
    <dxf>
      <numFmt numFmtId="165" formatCode="_(* #,##0_);_(* \(#,##0\);_(* &quot;-&quot;??_);_(@_)"/>
    </dxf>
    <dxf>
      <alignment horizontal="right"/>
    </dxf>
    <dxf>
      <numFmt numFmtId="165" formatCode="_(* #,##0_);_(* \(#,##0\);_(* &quot;-&quot;??_);_(@_)"/>
    </dxf>
    <dxf>
      <alignment horizontal="right"/>
    </dxf>
    <dxf>
      <font>
        <b/>
        <family val="2"/>
      </font>
    </dxf>
    <dxf>
      <alignment horizontal="right"/>
    </dxf>
    <dxf>
      <numFmt numFmtId="164" formatCode="_(&quot;$&quot;* #,##0_);_(&quot;$&quot;* \(#,##0\);_(&quot;$&quot;* &quot;-&quot;??_);_(@_)"/>
    </dxf>
    <dxf>
      <numFmt numFmtId="164" formatCode="_(&quot;$&quot;* #,##0_);_(&quot;$&quot;* \(#,##0\);_(&quot;$&quot;* &quot;-&quot;??_);_(@_)"/>
    </dxf>
    <dxf>
      <numFmt numFmtId="164" formatCode="_(&quot;$&quot;* #,##0_);_(&quot;$&quot;* \(#,##0\);_(&quot;$&quot;* &quot;-&quot;??_);_(@_)"/>
    </dxf>
    <dxf>
      <border>
        <left/>
        <right/>
        <top/>
        <bottom/>
      </border>
    </dxf>
    <dxf>
      <numFmt numFmtId="165" formatCode="_(* #,##0_);_(* \(#,##0\);_(* &quot;-&quot;??_);_(@_)"/>
    </dxf>
    <dxf>
      <alignment horizontal="right"/>
    </dxf>
    <dxf>
      <numFmt numFmtId="164" formatCode="_(&quot;$&quot;* #,##0_);_(&quot;$&quot;* \(#,##0\);_(&quot;$&quot;* &quot;-&quot;??_);_(@_)"/>
    </dxf>
    <dxf>
      <numFmt numFmtId="164" formatCode="_(&quot;$&quot;* #,##0_);_(&quot;$&quot;* \(#,##0\);_(&quot;$&quot;* &quot;-&quot;??_);_(@_)"/>
    </dxf>
    <dxf>
      <font>
        <b val="0"/>
      </font>
    </dxf>
    <dxf>
      <alignment horizontal="right"/>
    </dxf>
    <dxf>
      <alignment horizontal="right"/>
    </dxf>
    <dxf>
      <numFmt numFmtId="164" formatCode="_(&quot;$&quot;* #,##0_);_(&quot;$&quot;* \(#,##0\);_(&quot;$&quot;* &quot;-&quot;??_);_(@_)"/>
    </dxf>
    <dxf>
      <numFmt numFmtId="165" formatCode="_(* #,##0_);_(* \(#,##0\);_(* &quot;-&quot;??_);_(@_)"/>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s>
  <tableStyles count="2" defaultTableStyle="TableStyleMedium2" defaultPivotStyle="PivotStyleLight16">
    <tableStyle name="Slicer Style 1" pivot="0" table="0" count="1" xr9:uid="{0766A92B-2D33-482C-A402-36D66A302F27}"/>
    <tableStyle name="Slicer Style 2" pivot="0" table="0" count="1" xr9:uid="{D97E5BFC-94C5-4557-A6C9-B385FFC5D468}">
      <tableStyleElement type="wholeTable" dxfId="235"/>
    </tableStyle>
  </tableStyles>
  <colors>
    <mruColors>
      <color rgb="FF13434C"/>
      <color rgb="FF47737D"/>
      <color rgb="FFFEF9E7"/>
      <color rgb="FF566C8F"/>
      <color rgb="FF95B0B6"/>
      <color rgb="FF627B81"/>
      <color rgb="FF4E9D22"/>
      <color rgb="FFA5DA74"/>
      <color rgb="FF00C5A1"/>
      <color rgb="FFFD8F3B"/>
    </mruColors>
  </colors>
  <extLst>
    <ext xmlns:x14="http://schemas.microsoft.com/office/spreadsheetml/2009/9/main" uri="{46F421CA-312F-682f-3DD2-61675219B42D}">
      <x14:dxfs count="1">
        <dxf>
          <font>
            <b/>
            <i val="0"/>
            <strike val="0"/>
            <sz val="8"/>
            <color theme="3"/>
            <name val="Segoe UI"/>
            <family val="2"/>
            <scheme val="none"/>
          </font>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(2)(AutoRecovered).xlsx]Brand_Analysis!Beer_Products_VS_Qty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What</a:t>
            </a:r>
            <a:r>
              <a:rPr lang="en-US" sz="1200" b="1" baseline="0"/>
              <a:t> brands quantity was purchased the most?</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44806163497655"/>
          <c:y val="0.26790403373609961"/>
          <c:w val="0.67617626870107872"/>
          <c:h val="0.5514416083108663"/>
        </c:manualLayout>
      </c:layout>
      <c:barChart>
        <c:barDir val="bar"/>
        <c:grouping val="clustered"/>
        <c:varyColors val="0"/>
        <c:ser>
          <c:idx val="0"/>
          <c:order val="0"/>
          <c:tx>
            <c:strRef>
              <c:f>Brand_Analysis!$B$1</c:f>
              <c:strCache>
                <c:ptCount val="1"/>
                <c:pt idx="0">
                  <c:v>Total</c:v>
                </c:pt>
              </c:strCache>
            </c:strRef>
          </c:tx>
          <c:spPr>
            <a:solidFill>
              <a:srgbClr val="13434C"/>
            </a:solidFill>
            <a:ln>
              <a:noFill/>
            </a:ln>
            <a:effectLst/>
          </c:spPr>
          <c:invertIfNegative val="0"/>
          <c:cat>
            <c:strRef>
              <c:f>Brand_Analysis!$A$2:$A$7</c:f>
              <c:strCache>
                <c:ptCount val="6"/>
                <c:pt idx="0">
                  <c:v>Grand Malt</c:v>
                </c:pt>
                <c:pt idx="1">
                  <c:v>Beta Malt</c:v>
                </c:pt>
                <c:pt idx="2">
                  <c:v>Castle Lite</c:v>
                </c:pt>
                <c:pt idx="3">
                  <c:v>Trophy</c:v>
                </c:pt>
                <c:pt idx="4">
                  <c:v>Hero</c:v>
                </c:pt>
                <c:pt idx="5">
                  <c:v>Eagle Lager</c:v>
                </c:pt>
              </c:strCache>
            </c:strRef>
          </c:cat>
          <c:val>
            <c:numRef>
              <c:f>Brand_Analysis!$B$2:$B$7</c:f>
              <c:numCache>
                <c:formatCode>_(* #,##0_);_(* \(#,##0\);_(* "-"??_);_(@_)</c:formatCode>
                <c:ptCount val="6"/>
                <c:pt idx="0">
                  <c:v>24666</c:v>
                </c:pt>
                <c:pt idx="1">
                  <c:v>25381</c:v>
                </c:pt>
                <c:pt idx="2">
                  <c:v>25681</c:v>
                </c:pt>
                <c:pt idx="3">
                  <c:v>25743</c:v>
                </c:pt>
                <c:pt idx="4">
                  <c:v>25811</c:v>
                </c:pt>
                <c:pt idx="5">
                  <c:v>25872</c:v>
                </c:pt>
              </c:numCache>
            </c:numRef>
          </c:val>
          <c:extLst>
            <c:ext xmlns:c16="http://schemas.microsoft.com/office/drawing/2014/chart" uri="{C3380CC4-5D6E-409C-BE32-E72D297353CC}">
              <c16:uniqueId val="{00000000-471A-4407-AEC0-AD086285296F}"/>
            </c:ext>
          </c:extLst>
        </c:ser>
        <c:dLbls>
          <c:showLegendKey val="0"/>
          <c:showVal val="0"/>
          <c:showCatName val="0"/>
          <c:showSerName val="0"/>
          <c:showPercent val="0"/>
          <c:showBubbleSize val="0"/>
        </c:dLbls>
        <c:gapWidth val="182"/>
        <c:axId val="172505679"/>
        <c:axId val="92195375"/>
      </c:barChart>
      <c:catAx>
        <c:axId val="17250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5375"/>
        <c:crosses val="autoZero"/>
        <c:auto val="1"/>
        <c:lblAlgn val="ctr"/>
        <c:lblOffset val="100"/>
        <c:noMultiLvlLbl val="0"/>
      </c:catAx>
      <c:valAx>
        <c:axId val="9219537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(2)(AutoRecovered).xlsx]Brand_Analysis!Region_VS_Qty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What Region did the</a:t>
            </a:r>
            <a:r>
              <a:rPr lang="en-US" sz="1100" b="1" baseline="0"/>
              <a:t> most number in sales?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Brand_Analysis!$B$17</c:f>
              <c:strCache>
                <c:ptCount val="1"/>
                <c:pt idx="0">
                  <c:v>Total</c:v>
                </c:pt>
              </c:strCache>
            </c:strRef>
          </c:tx>
          <c:spPr>
            <a:solidFill>
              <a:srgbClr val="13434C"/>
            </a:solidFill>
            <a:ln>
              <a:noFill/>
            </a:ln>
            <a:effectLst/>
          </c:spPr>
          <c:invertIfNegative val="0"/>
          <c:cat>
            <c:strRef>
              <c:f>Brand_Analysis!$A$18:$A$24</c:f>
              <c:strCache>
                <c:ptCount val="6"/>
                <c:pt idx="0">
                  <c:v>Northcentral</c:v>
                </c:pt>
                <c:pt idx="1">
                  <c:v>Northeast</c:v>
                </c:pt>
                <c:pt idx="2">
                  <c:v>Northwest</c:v>
                </c:pt>
                <c:pt idx="3">
                  <c:v>Southeast</c:v>
                </c:pt>
                <c:pt idx="4">
                  <c:v>Southsouth</c:v>
                </c:pt>
                <c:pt idx="5">
                  <c:v>west</c:v>
                </c:pt>
              </c:strCache>
            </c:strRef>
          </c:cat>
          <c:val>
            <c:numRef>
              <c:f>Brand_Analysis!$B$18:$B$24</c:f>
              <c:numCache>
                <c:formatCode>_(* #,##0_);_(* \(#,##0\);_(* "-"??_);_(@_)</c:formatCode>
                <c:ptCount val="6"/>
                <c:pt idx="0">
                  <c:v>25369</c:v>
                </c:pt>
                <c:pt idx="1">
                  <c:v>26174</c:v>
                </c:pt>
                <c:pt idx="2">
                  <c:v>24898</c:v>
                </c:pt>
                <c:pt idx="3">
                  <c:v>25933</c:v>
                </c:pt>
                <c:pt idx="4">
                  <c:v>25918</c:v>
                </c:pt>
                <c:pt idx="5">
                  <c:v>24862</c:v>
                </c:pt>
              </c:numCache>
            </c:numRef>
          </c:val>
          <c:extLst>
            <c:ext xmlns:c16="http://schemas.microsoft.com/office/drawing/2014/chart" uri="{C3380CC4-5D6E-409C-BE32-E72D297353CC}">
              <c16:uniqueId val="{00000000-4003-4F2F-A71E-716762DFCAC4}"/>
            </c:ext>
          </c:extLst>
        </c:ser>
        <c:dLbls>
          <c:showLegendKey val="0"/>
          <c:showVal val="0"/>
          <c:showCatName val="0"/>
          <c:showSerName val="0"/>
          <c:showPercent val="0"/>
          <c:showBubbleSize val="0"/>
        </c:dLbls>
        <c:gapWidth val="219"/>
        <c:overlap val="-27"/>
        <c:axId val="172490367"/>
        <c:axId val="92170895"/>
      </c:barChart>
      <c:catAx>
        <c:axId val="17249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2170895"/>
        <c:crosses val="autoZero"/>
        <c:auto val="1"/>
        <c:lblAlgn val="ctr"/>
        <c:lblOffset val="100"/>
        <c:noMultiLvlLbl val="0"/>
      </c:catAx>
      <c:valAx>
        <c:axId val="9217089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(2)(AutoRecovered).xlsx]Profit_Analysis!Profit_Per_Territory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What was the profit per territory?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E9D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EF9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74C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5054756604499"/>
          <c:y val="0.2166538780796011"/>
          <c:w val="0.75946605945933832"/>
          <c:h val="0.48640131061623876"/>
        </c:manualLayout>
      </c:layout>
      <c:barChart>
        <c:barDir val="col"/>
        <c:grouping val="stacked"/>
        <c:varyColors val="0"/>
        <c:ser>
          <c:idx val="0"/>
          <c:order val="0"/>
          <c:tx>
            <c:strRef>
              <c:f>Profit_Analysis!$B$15:$B$16</c:f>
              <c:strCache>
                <c:ptCount val="1"/>
                <c:pt idx="0">
                  <c:v>2017</c:v>
                </c:pt>
              </c:strCache>
            </c:strRef>
          </c:tx>
          <c:spPr>
            <a:solidFill>
              <a:srgbClr val="4E9D22"/>
            </a:solidFill>
            <a:ln>
              <a:noFill/>
            </a:ln>
            <a:effectLst/>
          </c:spPr>
          <c:invertIfNegative val="0"/>
          <c:cat>
            <c:strRef>
              <c:f>Profit_Analysis!$A$17</c:f>
              <c:strCache>
                <c:ptCount val="1"/>
                <c:pt idx="0">
                  <c:v>Anglophone</c:v>
                </c:pt>
              </c:strCache>
            </c:strRef>
          </c:cat>
          <c:val>
            <c:numRef>
              <c:f>Profit_Analysis!$B$17</c:f>
              <c:numCache>
                <c:formatCode>_("$"* #,##0_);_("$"* \(#,##0\);_("$"* "-"??_);_(@_)</c:formatCode>
                <c:ptCount val="1"/>
                <c:pt idx="0">
                  <c:v>5566800</c:v>
                </c:pt>
              </c:numCache>
            </c:numRef>
          </c:val>
          <c:extLst>
            <c:ext xmlns:c16="http://schemas.microsoft.com/office/drawing/2014/chart" uri="{C3380CC4-5D6E-409C-BE32-E72D297353CC}">
              <c16:uniqueId val="{00000000-C557-4CDD-A8AE-41CD8E162665}"/>
            </c:ext>
          </c:extLst>
        </c:ser>
        <c:ser>
          <c:idx val="1"/>
          <c:order val="1"/>
          <c:tx>
            <c:strRef>
              <c:f>Profit_Analysis!$C$15:$C$16</c:f>
              <c:strCache>
                <c:ptCount val="1"/>
                <c:pt idx="0">
                  <c:v>2018</c:v>
                </c:pt>
              </c:strCache>
            </c:strRef>
          </c:tx>
          <c:spPr>
            <a:solidFill>
              <a:srgbClr val="FEF9E7"/>
            </a:solidFill>
            <a:ln>
              <a:noFill/>
            </a:ln>
            <a:effectLst/>
          </c:spPr>
          <c:invertIfNegative val="0"/>
          <c:cat>
            <c:strRef>
              <c:f>Profit_Analysis!$A$17</c:f>
              <c:strCache>
                <c:ptCount val="1"/>
                <c:pt idx="0">
                  <c:v>Anglophone</c:v>
                </c:pt>
              </c:strCache>
            </c:strRef>
          </c:cat>
          <c:val>
            <c:numRef>
              <c:f>Profit_Analysis!$C$17</c:f>
              <c:numCache>
                <c:formatCode>_("$"* #,##0_);_("$"* \(#,##0\);_("$"* "-"??_);_(@_)</c:formatCode>
                <c:ptCount val="1"/>
                <c:pt idx="0">
                  <c:v>5838340</c:v>
                </c:pt>
              </c:numCache>
            </c:numRef>
          </c:val>
          <c:extLst>
            <c:ext xmlns:c16="http://schemas.microsoft.com/office/drawing/2014/chart" uri="{C3380CC4-5D6E-409C-BE32-E72D297353CC}">
              <c16:uniqueId val="{00000005-6B44-4081-821F-E205C2C35C13}"/>
            </c:ext>
          </c:extLst>
        </c:ser>
        <c:ser>
          <c:idx val="2"/>
          <c:order val="2"/>
          <c:tx>
            <c:strRef>
              <c:f>Profit_Analysis!$D$15:$D$16</c:f>
              <c:strCache>
                <c:ptCount val="1"/>
                <c:pt idx="0">
                  <c:v>2019</c:v>
                </c:pt>
              </c:strCache>
            </c:strRef>
          </c:tx>
          <c:spPr>
            <a:solidFill>
              <a:srgbClr val="174C54"/>
            </a:solidFill>
            <a:ln>
              <a:noFill/>
            </a:ln>
            <a:effectLst/>
          </c:spPr>
          <c:invertIfNegative val="0"/>
          <c:cat>
            <c:strRef>
              <c:f>Profit_Analysis!$A$17</c:f>
              <c:strCache>
                <c:ptCount val="1"/>
                <c:pt idx="0">
                  <c:v>Anglophone</c:v>
                </c:pt>
              </c:strCache>
            </c:strRef>
          </c:cat>
          <c:val>
            <c:numRef>
              <c:f>Profit_Analysis!$D$17</c:f>
              <c:numCache>
                <c:formatCode>_("$"* #,##0_);_("$"* \(#,##0\);_("$"* "-"??_);_(@_)</c:formatCode>
                <c:ptCount val="1"/>
                <c:pt idx="0">
                  <c:v>3432820</c:v>
                </c:pt>
              </c:numCache>
            </c:numRef>
          </c:val>
          <c:extLst>
            <c:ext xmlns:c16="http://schemas.microsoft.com/office/drawing/2014/chart" uri="{C3380CC4-5D6E-409C-BE32-E72D297353CC}">
              <c16:uniqueId val="{00000006-6B44-4081-821F-E205C2C35C13}"/>
            </c:ext>
          </c:extLst>
        </c:ser>
        <c:dLbls>
          <c:showLegendKey val="0"/>
          <c:showVal val="0"/>
          <c:showCatName val="0"/>
          <c:showSerName val="0"/>
          <c:showPercent val="0"/>
          <c:showBubbleSize val="0"/>
        </c:dLbls>
        <c:gapWidth val="150"/>
        <c:overlap val="100"/>
        <c:axId val="94751103"/>
        <c:axId val="92217935"/>
      </c:barChart>
      <c:catAx>
        <c:axId val="947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217935"/>
        <c:crosses val="autoZero"/>
        <c:auto val="1"/>
        <c:lblAlgn val="ctr"/>
        <c:lblOffset val="100"/>
        <c:noMultiLvlLbl val="0"/>
      </c:catAx>
      <c:valAx>
        <c:axId val="9221793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51103"/>
        <c:crosses val="autoZero"/>
        <c:crossBetween val="between"/>
      </c:valAx>
      <c:spPr>
        <a:noFill/>
        <a:ln>
          <a:noFill/>
        </a:ln>
        <a:effectLst/>
      </c:spPr>
    </c:plotArea>
    <c:legend>
      <c:legendPos val="b"/>
      <c:layout>
        <c:manualLayout>
          <c:xMode val="edge"/>
          <c:yMode val="edge"/>
          <c:x val="0.31661796535694425"/>
          <c:y val="0.84377290892339118"/>
          <c:w val="0.1317129274698248"/>
          <c:h val="0.105283635629427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(2)(AutoRecovered).xlsx]Profit_Analysis!Profit_per_Year_Month</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Year VS</a:t>
            </a:r>
            <a:r>
              <a:rPr lang="en-US" sz="1050" b="1" baseline="0"/>
              <a:t> Profit</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2225">
            <a:noFill/>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a:noFill/>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a:noFill/>
          </a:ln>
          <a:effectLst/>
        </c:spPr>
        <c:marker>
          <c:symbol val="circle"/>
          <c:size val="3"/>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22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2225" cap="rnd">
            <a:solidFill>
              <a:schemeClr val="accent1"/>
            </a:solidFill>
            <a:round/>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1"/>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rnd">
            <a:solidFill>
              <a:schemeClr val="accent1"/>
            </a:solidFill>
            <a:round/>
          </a:ln>
          <a:effectLst/>
        </c:spPr>
        <c:marker>
          <c:symbol val="circle"/>
          <c:size val="3"/>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chemeClr val="accent1"/>
            </a:solidFill>
            <a:round/>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2225" cap="rnd">
            <a:solidFill>
              <a:schemeClr val="accent1"/>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rnd">
            <a:solidFill>
              <a:schemeClr val="accent1"/>
            </a:solidFill>
            <a:round/>
          </a:ln>
          <a:effectLst/>
        </c:spPr>
        <c:marker>
          <c:symbol val="circle"/>
          <c:size val="3"/>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rgbClr val="00C5A1"/>
            </a:solidFill>
            <a:round/>
          </a:ln>
          <a:effectLst/>
        </c:spPr>
        <c:marker>
          <c:symbol val="circle"/>
          <c:size val="3"/>
          <c:spPr>
            <a:solidFill>
              <a:srgbClr val="00C5A1"/>
            </a:solidFill>
            <a:ln w="9525">
              <a:solidFill>
                <a:srgbClr val="00C5A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rgbClr val="13434C"/>
            </a:solidFill>
            <a:round/>
          </a:ln>
          <a:effectLst/>
        </c:spPr>
        <c:marker>
          <c:symbol val="circle"/>
          <c:size val="3"/>
          <c:spPr>
            <a:solidFill>
              <a:srgbClr val="13434C"/>
            </a:solidFill>
            <a:ln w="9525">
              <a:solidFill>
                <a:srgbClr val="1343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rgbClr val="4E9D22"/>
            </a:solidFill>
            <a:round/>
          </a:ln>
          <a:effectLst/>
        </c:spPr>
        <c:marker>
          <c:symbol val="circle"/>
          <c:size val="3"/>
          <c:spPr>
            <a:solidFill>
              <a:srgbClr val="4E9D22"/>
            </a:solidFill>
            <a:ln w="9525">
              <a:solidFill>
                <a:srgbClr val="4E9D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Profit_Analysis!$B$22:$B$23</c:f>
              <c:strCache>
                <c:ptCount val="1"/>
                <c:pt idx="0">
                  <c:v>2017</c:v>
                </c:pt>
              </c:strCache>
            </c:strRef>
          </c:tx>
          <c:spPr>
            <a:ln w="22225" cap="rnd">
              <a:solidFill>
                <a:srgbClr val="00C5A1"/>
              </a:solidFill>
              <a:round/>
            </a:ln>
            <a:effectLst/>
          </c:spPr>
          <c:marker>
            <c:symbol val="circle"/>
            <c:size val="3"/>
            <c:spPr>
              <a:solidFill>
                <a:srgbClr val="00C5A1"/>
              </a:solidFill>
              <a:ln w="9525">
                <a:solidFill>
                  <a:srgbClr val="00C5A1"/>
                </a:solidFill>
              </a:ln>
              <a:effectLst/>
            </c:spPr>
          </c:marker>
          <c:cat>
            <c:strRef>
              <c:f>Profit_Analysis!$A$24:$A$35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Profit_Analysis!$B$24:$B$35</c:f>
              <c:numCache>
                <c:formatCode>_("$"* #,##0_);_("$"* \(#,##0\);_("$"* "-"??_);_(@_)</c:formatCode>
                <c:ptCount val="12"/>
                <c:pt idx="0">
                  <c:v>249680</c:v>
                </c:pt>
                <c:pt idx="1">
                  <c:v>35050</c:v>
                </c:pt>
                <c:pt idx="2">
                  <c:v>450430</c:v>
                </c:pt>
                <c:pt idx="3">
                  <c:v>724450</c:v>
                </c:pt>
                <c:pt idx="4">
                  <c:v>1030540</c:v>
                </c:pt>
                <c:pt idx="5">
                  <c:v>321580</c:v>
                </c:pt>
                <c:pt idx="6">
                  <c:v>220360</c:v>
                </c:pt>
                <c:pt idx="7">
                  <c:v>743240</c:v>
                </c:pt>
                <c:pt idx="8">
                  <c:v>655550</c:v>
                </c:pt>
                <c:pt idx="9">
                  <c:v>314660</c:v>
                </c:pt>
                <c:pt idx="10">
                  <c:v>639550</c:v>
                </c:pt>
                <c:pt idx="11">
                  <c:v>181710</c:v>
                </c:pt>
              </c:numCache>
            </c:numRef>
          </c:val>
          <c:smooth val="0"/>
          <c:extLst>
            <c:ext xmlns:c16="http://schemas.microsoft.com/office/drawing/2014/chart" uri="{C3380CC4-5D6E-409C-BE32-E72D297353CC}">
              <c16:uniqueId val="{00000000-7552-46F1-A3A9-9B42BEF6A1A9}"/>
            </c:ext>
          </c:extLst>
        </c:ser>
        <c:ser>
          <c:idx val="1"/>
          <c:order val="1"/>
          <c:tx>
            <c:strRef>
              <c:f>Profit_Analysis!$C$22:$C$23</c:f>
              <c:strCache>
                <c:ptCount val="1"/>
                <c:pt idx="0">
                  <c:v>2018</c:v>
                </c:pt>
              </c:strCache>
            </c:strRef>
          </c:tx>
          <c:spPr>
            <a:ln w="22225" cap="rnd">
              <a:solidFill>
                <a:srgbClr val="13434C"/>
              </a:solidFill>
              <a:round/>
            </a:ln>
            <a:effectLst/>
          </c:spPr>
          <c:marker>
            <c:symbol val="circle"/>
            <c:size val="3"/>
            <c:spPr>
              <a:solidFill>
                <a:srgbClr val="13434C"/>
              </a:solidFill>
              <a:ln w="9525">
                <a:solidFill>
                  <a:srgbClr val="13434C"/>
                </a:solidFill>
              </a:ln>
              <a:effectLst/>
            </c:spPr>
          </c:marker>
          <c:cat>
            <c:strRef>
              <c:f>Profit_Analysis!$A$24:$A$35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Profit_Analysis!$C$24:$C$35</c:f>
              <c:numCache>
                <c:formatCode>_("$"* #,##0_);_("$"* \(#,##0\);_("$"* "-"??_);_(@_)</c:formatCode>
                <c:ptCount val="12"/>
                <c:pt idx="0">
                  <c:v>615530</c:v>
                </c:pt>
                <c:pt idx="1">
                  <c:v>1175660</c:v>
                </c:pt>
                <c:pt idx="2">
                  <c:v>502070</c:v>
                </c:pt>
                <c:pt idx="3">
                  <c:v>150620</c:v>
                </c:pt>
                <c:pt idx="4">
                  <c:v>169920</c:v>
                </c:pt>
                <c:pt idx="5">
                  <c:v>559850</c:v>
                </c:pt>
                <c:pt idx="6">
                  <c:v>788990</c:v>
                </c:pt>
                <c:pt idx="7">
                  <c:v>176230</c:v>
                </c:pt>
                <c:pt idx="8">
                  <c:v>214350</c:v>
                </c:pt>
                <c:pt idx="9">
                  <c:v>426910</c:v>
                </c:pt>
                <c:pt idx="10">
                  <c:v>308110</c:v>
                </c:pt>
                <c:pt idx="11">
                  <c:v>750100</c:v>
                </c:pt>
              </c:numCache>
            </c:numRef>
          </c:val>
          <c:smooth val="0"/>
          <c:extLst>
            <c:ext xmlns:c16="http://schemas.microsoft.com/office/drawing/2014/chart" uri="{C3380CC4-5D6E-409C-BE32-E72D297353CC}">
              <c16:uniqueId val="{00000005-CE7E-49A3-9E1F-5AFD3200466E}"/>
            </c:ext>
          </c:extLst>
        </c:ser>
        <c:ser>
          <c:idx val="2"/>
          <c:order val="2"/>
          <c:tx>
            <c:strRef>
              <c:f>Profit_Analysis!$D$22:$D$23</c:f>
              <c:strCache>
                <c:ptCount val="1"/>
                <c:pt idx="0">
                  <c:v>2019</c:v>
                </c:pt>
              </c:strCache>
            </c:strRef>
          </c:tx>
          <c:spPr>
            <a:ln w="22225" cap="rnd">
              <a:solidFill>
                <a:srgbClr val="4E9D22"/>
              </a:solidFill>
              <a:round/>
            </a:ln>
            <a:effectLst/>
          </c:spPr>
          <c:marker>
            <c:symbol val="circle"/>
            <c:size val="3"/>
            <c:spPr>
              <a:solidFill>
                <a:srgbClr val="4E9D22"/>
              </a:solidFill>
              <a:ln w="9525">
                <a:solidFill>
                  <a:srgbClr val="4E9D22"/>
                </a:solidFill>
              </a:ln>
              <a:effectLst/>
            </c:spPr>
          </c:marker>
          <c:cat>
            <c:strRef>
              <c:f>Profit_Analysis!$A$24:$A$35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Profit_Analysis!$D$24:$D$35</c:f>
              <c:numCache>
                <c:formatCode>_("$"* #,##0_);_("$"* \(#,##0\);_("$"* "-"??_);_(@_)</c:formatCode>
                <c:ptCount val="12"/>
                <c:pt idx="0">
                  <c:v>458880</c:v>
                </c:pt>
                <c:pt idx="1">
                  <c:v>115760</c:v>
                </c:pt>
                <c:pt idx="2">
                  <c:v>449750</c:v>
                </c:pt>
                <c:pt idx="3">
                  <c:v>440240</c:v>
                </c:pt>
                <c:pt idx="4">
                  <c:v>197620</c:v>
                </c:pt>
                <c:pt idx="5">
                  <c:v>244160</c:v>
                </c:pt>
                <c:pt idx="6">
                  <c:v>192600</c:v>
                </c:pt>
                <c:pt idx="7">
                  <c:v>206580</c:v>
                </c:pt>
                <c:pt idx="8">
                  <c:v>228450</c:v>
                </c:pt>
                <c:pt idx="9">
                  <c:v>374450</c:v>
                </c:pt>
                <c:pt idx="10">
                  <c:v>210230</c:v>
                </c:pt>
                <c:pt idx="11">
                  <c:v>314100</c:v>
                </c:pt>
              </c:numCache>
            </c:numRef>
          </c:val>
          <c:smooth val="0"/>
          <c:extLst>
            <c:ext xmlns:c16="http://schemas.microsoft.com/office/drawing/2014/chart" uri="{C3380CC4-5D6E-409C-BE32-E72D297353CC}">
              <c16:uniqueId val="{00000006-CE7E-49A3-9E1F-5AFD3200466E}"/>
            </c:ext>
          </c:extLst>
        </c:ser>
        <c:dLbls>
          <c:showLegendKey val="0"/>
          <c:showVal val="0"/>
          <c:showCatName val="0"/>
          <c:showSerName val="0"/>
          <c:showPercent val="0"/>
          <c:showBubbleSize val="0"/>
        </c:dLbls>
        <c:marker val="1"/>
        <c:smooth val="0"/>
        <c:axId val="189575679"/>
        <c:axId val="92237135"/>
      </c:lineChart>
      <c:catAx>
        <c:axId val="18957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7135"/>
        <c:crosses val="autoZero"/>
        <c:auto val="1"/>
        <c:lblAlgn val="ctr"/>
        <c:lblOffset val="100"/>
        <c:noMultiLvlLbl val="0"/>
      </c:catAx>
      <c:valAx>
        <c:axId val="92237135"/>
        <c:scaling>
          <c:orientation val="minMax"/>
          <c:min val="1000000"/>
        </c:scaling>
        <c:delete val="0"/>
        <c:axPos val="l"/>
        <c:majorGridlines>
          <c:spPr>
            <a:ln w="9525" cap="flat" cmpd="sng" algn="ctr">
              <a:solidFill>
                <a:schemeClr val="tx1">
                  <a:lumMod val="15000"/>
                  <a:lumOff val="85000"/>
                </a:schemeClr>
              </a:solidFill>
              <a:round/>
            </a:ln>
            <a:effectLst/>
          </c:spPr>
        </c:majorGridlines>
        <c:numFmt formatCode="[&gt;=1000000]&quot;$&quot;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5679"/>
        <c:crosses val="autoZero"/>
        <c:crossBetween val="between"/>
        <c:majorUnit val="10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(2)(AutoRecovered).xlsx]Profit_Analysis!Country_VS_profit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What country generated the highest</a:t>
            </a:r>
            <a:r>
              <a:rPr lang="en-US" sz="1000" b="1" baseline="0"/>
              <a:t> profit?</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Profit_Analysis!$B$3</c:f>
              <c:strCache>
                <c:ptCount val="1"/>
                <c:pt idx="0">
                  <c:v>Total</c:v>
                </c:pt>
              </c:strCache>
            </c:strRef>
          </c:tx>
          <c:spPr>
            <a:solidFill>
              <a:srgbClr val="13434C"/>
            </a:solidFill>
            <a:ln>
              <a:noFill/>
            </a:ln>
            <a:effectLst/>
          </c:spPr>
          <c:invertIfNegative val="0"/>
          <c:cat>
            <c:strRef>
              <c:f>Profit_Analysis!$A$4</c:f>
              <c:strCache>
                <c:ptCount val="1"/>
                <c:pt idx="0">
                  <c:v>Nigeria</c:v>
                </c:pt>
              </c:strCache>
            </c:strRef>
          </c:cat>
          <c:val>
            <c:numRef>
              <c:f>Profit_Analysis!$B$4</c:f>
              <c:numCache>
                <c:formatCode>_("$"* #,##0_);_("$"* \(#,##0\);_("$"* "-"??_);_(@_)</c:formatCode>
                <c:ptCount val="1"/>
                <c:pt idx="0">
                  <c:v>14837960</c:v>
                </c:pt>
              </c:numCache>
            </c:numRef>
          </c:val>
          <c:extLst>
            <c:ext xmlns:c16="http://schemas.microsoft.com/office/drawing/2014/chart" uri="{C3380CC4-5D6E-409C-BE32-E72D297353CC}">
              <c16:uniqueId val="{00000000-15B1-466B-9AEA-9845F90B3CD4}"/>
            </c:ext>
          </c:extLst>
        </c:ser>
        <c:dLbls>
          <c:showLegendKey val="0"/>
          <c:showVal val="0"/>
          <c:showCatName val="0"/>
          <c:showSerName val="0"/>
          <c:showPercent val="0"/>
          <c:showBubbleSize val="0"/>
        </c:dLbls>
        <c:gapWidth val="182"/>
        <c:axId val="172466239"/>
        <c:axId val="92196815"/>
      </c:barChart>
      <c:catAx>
        <c:axId val="17246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6815"/>
        <c:crosses val="autoZero"/>
        <c:auto val="1"/>
        <c:lblAlgn val="ctr"/>
        <c:lblOffset val="100"/>
        <c:noMultiLvlLbl val="0"/>
      </c:catAx>
      <c:valAx>
        <c:axId val="92196815"/>
        <c:scaling>
          <c:orientation val="minMax"/>
        </c:scaling>
        <c:delete val="0"/>
        <c:axPos val="b"/>
        <c:majorGridlines>
          <c:spPr>
            <a:ln w="9525" cap="flat" cmpd="sng" algn="ctr">
              <a:solidFill>
                <a:schemeClr val="tx1">
                  <a:lumMod val="15000"/>
                  <a:lumOff val="85000"/>
                </a:schemeClr>
              </a:solidFill>
              <a:round/>
            </a:ln>
            <a:effectLst/>
          </c:spPr>
        </c:majorGridlines>
        <c:numFmt formatCode="[&gt;=1000000]&quot;$&quot;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6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(2)(AutoRecovered).xlsx]Profit_Analysis!PivotTable25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050" b="1"/>
              <a:t>What brand generated</a:t>
            </a:r>
            <a:r>
              <a:rPr lang="en-US" sz="1050" b="1" baseline="0"/>
              <a:t> the highest profit?</a:t>
            </a:r>
            <a:endParaRPr lang="en-US" sz="105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Profit_Analysis!$G$22</c:f>
              <c:strCache>
                <c:ptCount val="1"/>
                <c:pt idx="0">
                  <c:v>Total</c:v>
                </c:pt>
              </c:strCache>
            </c:strRef>
          </c:tx>
          <c:spPr>
            <a:solidFill>
              <a:srgbClr val="13434C"/>
            </a:solidFill>
            <a:ln>
              <a:noFill/>
            </a:ln>
            <a:effectLst/>
          </c:spPr>
          <c:invertIfNegative val="0"/>
          <c:cat>
            <c:strRef>
              <c:f>Profit_Analysis!$F$23:$F$30</c:f>
              <c:strCache>
                <c:ptCount val="7"/>
                <c:pt idx="0">
                  <c:v>Beta Malt</c:v>
                </c:pt>
                <c:pt idx="1">
                  <c:v>Budweiser</c:v>
                </c:pt>
                <c:pt idx="2">
                  <c:v>Castle Lite</c:v>
                </c:pt>
                <c:pt idx="3">
                  <c:v>Eagle Lager</c:v>
                </c:pt>
                <c:pt idx="4">
                  <c:v>Grand Malt</c:v>
                </c:pt>
                <c:pt idx="5">
                  <c:v>Hero</c:v>
                </c:pt>
                <c:pt idx="6">
                  <c:v>Trophy</c:v>
                </c:pt>
              </c:strCache>
            </c:strRef>
          </c:cat>
          <c:val>
            <c:numRef>
              <c:f>Profit_Analysis!$G$23:$G$30</c:f>
              <c:numCache>
                <c:formatCode>_("$"* #,##0_);_("$"* \(#,##0\);_("$"* "-"??_);_(@_)</c:formatCode>
                <c:ptCount val="7"/>
                <c:pt idx="0">
                  <c:v>8754410</c:v>
                </c:pt>
                <c:pt idx="1">
                  <c:v>31568500</c:v>
                </c:pt>
                <c:pt idx="2">
                  <c:v>34606980</c:v>
                </c:pt>
                <c:pt idx="3">
                  <c:v>10224240</c:v>
                </c:pt>
                <c:pt idx="4">
                  <c:v>7577340</c:v>
                </c:pt>
                <c:pt idx="5">
                  <c:v>6453000</c:v>
                </c:pt>
                <c:pt idx="6">
                  <c:v>6402950</c:v>
                </c:pt>
              </c:numCache>
            </c:numRef>
          </c:val>
          <c:extLst>
            <c:ext xmlns:c16="http://schemas.microsoft.com/office/drawing/2014/chart" uri="{C3380CC4-5D6E-409C-BE32-E72D297353CC}">
              <c16:uniqueId val="{00000001-1BC0-4037-A52C-2E466EE8A9BB}"/>
            </c:ext>
          </c:extLst>
        </c:ser>
        <c:dLbls>
          <c:showLegendKey val="0"/>
          <c:showVal val="0"/>
          <c:showCatName val="0"/>
          <c:showSerName val="0"/>
          <c:showPercent val="0"/>
          <c:showBubbleSize val="0"/>
        </c:dLbls>
        <c:gapWidth val="219"/>
        <c:overlap val="-27"/>
        <c:axId val="95284287"/>
        <c:axId val="92213135"/>
      </c:barChart>
      <c:catAx>
        <c:axId val="952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92213135"/>
        <c:crosses val="autoZero"/>
        <c:auto val="1"/>
        <c:lblAlgn val="ctr"/>
        <c:lblOffset val="100"/>
        <c:noMultiLvlLbl val="0"/>
      </c:catAx>
      <c:valAx>
        <c:axId val="92213135"/>
        <c:scaling>
          <c:orientation val="minMax"/>
          <c:max val="35000000"/>
        </c:scaling>
        <c:delete val="0"/>
        <c:axPos val="l"/>
        <c:majorGridlines>
          <c:spPr>
            <a:ln w="9525" cap="flat" cmpd="sng" algn="ctr">
              <a:solidFill>
                <a:schemeClr val="tx1">
                  <a:lumMod val="15000"/>
                  <a:lumOff val="85000"/>
                </a:schemeClr>
              </a:solidFill>
              <a:round/>
            </a:ln>
            <a:effectLst/>
          </c:spPr>
        </c:majorGridlines>
        <c:numFmt formatCode="[&gt;=1000000]&quot;$&quot;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284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(2)(AutoRecovered).xlsx]Countries_Analysis!Country_Qty_VS_Profit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Profit Vs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4E9D22"/>
            </a:solidFill>
            <a:round/>
          </a:ln>
          <a:effectLst/>
        </c:spPr>
        <c:marker>
          <c:symbol val="circle"/>
          <c:size val="3"/>
          <c:spPr>
            <a:solidFill>
              <a:srgbClr val="4E9D22"/>
            </a:solidFill>
            <a:ln w="9525">
              <a:solidFill>
                <a:srgbClr val="4E9D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Countries_Analysis!$B$1</c:f>
              <c:strCache>
                <c:ptCount val="1"/>
                <c:pt idx="0">
                  <c:v>Total Quanity</c:v>
                </c:pt>
              </c:strCache>
            </c:strRef>
          </c:tx>
          <c:spPr>
            <a:solidFill>
              <a:srgbClr val="13434C"/>
            </a:solidFill>
            <a:ln>
              <a:noFill/>
            </a:ln>
            <a:effectLst/>
          </c:spPr>
          <c:invertIfNegative val="0"/>
          <c:cat>
            <c:strRef>
              <c:f>Countries_Analysis!$A$2:$A$3</c:f>
              <c:strCache>
                <c:ptCount val="1"/>
                <c:pt idx="0">
                  <c:v>Nigeria</c:v>
                </c:pt>
              </c:strCache>
            </c:strRef>
          </c:cat>
          <c:val>
            <c:numRef>
              <c:f>Countries_Analysis!$B$2:$B$3</c:f>
              <c:numCache>
                <c:formatCode>_(* #,##0_);_(* \(#,##0\);_(* "-"??_);_(@_)</c:formatCode>
                <c:ptCount val="1"/>
                <c:pt idx="0">
                  <c:v>153154</c:v>
                </c:pt>
              </c:numCache>
            </c:numRef>
          </c:val>
          <c:extLst>
            <c:ext xmlns:c16="http://schemas.microsoft.com/office/drawing/2014/chart" uri="{C3380CC4-5D6E-409C-BE32-E72D297353CC}">
              <c16:uniqueId val="{00000000-FA8D-42F3-B1EC-386B37299F2B}"/>
            </c:ext>
          </c:extLst>
        </c:ser>
        <c:dLbls>
          <c:showLegendKey val="0"/>
          <c:showVal val="0"/>
          <c:showCatName val="0"/>
          <c:showSerName val="0"/>
          <c:showPercent val="0"/>
          <c:showBubbleSize val="0"/>
        </c:dLbls>
        <c:gapWidth val="219"/>
        <c:overlap val="-27"/>
        <c:axId val="2005735023"/>
        <c:axId val="92244815"/>
      </c:barChart>
      <c:lineChart>
        <c:grouping val="standard"/>
        <c:varyColors val="0"/>
        <c:ser>
          <c:idx val="1"/>
          <c:order val="1"/>
          <c:tx>
            <c:strRef>
              <c:f>Countries_Analysis!$C$1</c:f>
              <c:strCache>
                <c:ptCount val="1"/>
                <c:pt idx="0">
                  <c:v>Total Profit</c:v>
                </c:pt>
              </c:strCache>
            </c:strRef>
          </c:tx>
          <c:spPr>
            <a:ln w="22225" cap="rnd">
              <a:solidFill>
                <a:srgbClr val="4E9D22"/>
              </a:solidFill>
              <a:round/>
            </a:ln>
            <a:effectLst/>
          </c:spPr>
          <c:marker>
            <c:symbol val="circle"/>
            <c:size val="3"/>
            <c:spPr>
              <a:solidFill>
                <a:srgbClr val="4E9D22"/>
              </a:solidFill>
              <a:ln w="9525">
                <a:solidFill>
                  <a:srgbClr val="4E9D22"/>
                </a:solidFill>
              </a:ln>
              <a:effectLst/>
            </c:spPr>
          </c:marker>
          <c:cat>
            <c:strRef>
              <c:f>Countries_Analysis!$A$2:$A$3</c:f>
              <c:strCache>
                <c:ptCount val="1"/>
                <c:pt idx="0">
                  <c:v>Nigeria</c:v>
                </c:pt>
              </c:strCache>
            </c:strRef>
          </c:cat>
          <c:val>
            <c:numRef>
              <c:f>Countries_Analysis!$C$2:$C$3</c:f>
              <c:numCache>
                <c:formatCode>_("$"* #,##0_);_("$"* \(#,##0\);_("$"* "-"??_);_(@_)</c:formatCode>
                <c:ptCount val="1"/>
                <c:pt idx="0">
                  <c:v>14837960</c:v>
                </c:pt>
              </c:numCache>
            </c:numRef>
          </c:val>
          <c:smooth val="0"/>
          <c:extLst>
            <c:ext xmlns:c16="http://schemas.microsoft.com/office/drawing/2014/chart" uri="{C3380CC4-5D6E-409C-BE32-E72D297353CC}">
              <c16:uniqueId val="{00000001-FA8D-42F3-B1EC-386B37299F2B}"/>
            </c:ext>
          </c:extLst>
        </c:ser>
        <c:dLbls>
          <c:showLegendKey val="0"/>
          <c:showVal val="0"/>
          <c:showCatName val="0"/>
          <c:showSerName val="0"/>
          <c:showPercent val="0"/>
          <c:showBubbleSize val="0"/>
        </c:dLbls>
        <c:marker val="1"/>
        <c:smooth val="0"/>
        <c:axId val="1886382431"/>
        <c:axId val="92261615"/>
      </c:lineChart>
      <c:catAx>
        <c:axId val="200573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44815"/>
        <c:crosses val="autoZero"/>
        <c:auto val="1"/>
        <c:lblAlgn val="ctr"/>
        <c:lblOffset val="100"/>
        <c:noMultiLvlLbl val="0"/>
      </c:catAx>
      <c:valAx>
        <c:axId val="9224481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35023"/>
        <c:crosses val="autoZero"/>
        <c:crossBetween val="between"/>
      </c:valAx>
      <c:valAx>
        <c:axId val="92261615"/>
        <c:scaling>
          <c:orientation val="minMax"/>
        </c:scaling>
        <c:delete val="0"/>
        <c:axPos val="r"/>
        <c:numFmt formatCode="[&gt;=1000000]&quot;$&quot;0.0,,&quot;M&quot;;[&gt;=10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382431"/>
        <c:crosses val="max"/>
        <c:crossBetween val="between"/>
      </c:valAx>
      <c:catAx>
        <c:axId val="1886382431"/>
        <c:scaling>
          <c:orientation val="minMax"/>
        </c:scaling>
        <c:delete val="1"/>
        <c:axPos val="b"/>
        <c:numFmt formatCode="General" sourceLinked="1"/>
        <c:majorTickMark val="out"/>
        <c:minorTickMark val="none"/>
        <c:tickLblPos val="nextTo"/>
        <c:crossAx val="92261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(2)(AutoRecovered).xlsx]Countries_Analysis!Sales_Person_revenue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What is the Sales</a:t>
            </a:r>
            <a:r>
              <a:rPr lang="en-US" sz="1200" b="1" baseline="0"/>
              <a:t> Personnel?</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Countries_Analysis!$B$14</c:f>
              <c:strCache>
                <c:ptCount val="1"/>
                <c:pt idx="0">
                  <c:v>Total</c:v>
                </c:pt>
              </c:strCache>
            </c:strRef>
          </c:tx>
          <c:spPr>
            <a:solidFill>
              <a:srgbClr val="13434C"/>
            </a:solidFill>
            <a:ln>
              <a:noFill/>
            </a:ln>
            <a:effectLst/>
          </c:spPr>
          <c:invertIfNegative val="0"/>
          <c:cat>
            <c:strRef>
              <c:f>Countries_Analysis!$A$15:$A$22</c:f>
              <c:strCache>
                <c:ptCount val="7"/>
                <c:pt idx="0">
                  <c:v>Jones</c:v>
                </c:pt>
                <c:pt idx="1">
                  <c:v>Sorvino</c:v>
                </c:pt>
                <c:pt idx="2">
                  <c:v>Jardine</c:v>
                </c:pt>
                <c:pt idx="3">
                  <c:v>Andrews</c:v>
                </c:pt>
                <c:pt idx="4">
                  <c:v>Morgan</c:v>
                </c:pt>
                <c:pt idx="5">
                  <c:v>Gill</c:v>
                </c:pt>
                <c:pt idx="6">
                  <c:v>Kivell</c:v>
                </c:pt>
              </c:strCache>
            </c:strRef>
          </c:cat>
          <c:val>
            <c:numRef>
              <c:f>Countries_Analysis!$B$15:$B$22</c:f>
              <c:numCache>
                <c:formatCode>_("$"* #,##0_);_("$"* \(#,##0\);_("$"* "-"??_);_(@_)</c:formatCode>
                <c:ptCount val="7"/>
                <c:pt idx="0">
                  <c:v>5540600</c:v>
                </c:pt>
                <c:pt idx="1">
                  <c:v>4673100</c:v>
                </c:pt>
                <c:pt idx="2">
                  <c:v>4455550</c:v>
                </c:pt>
                <c:pt idx="3">
                  <c:v>4189350</c:v>
                </c:pt>
                <c:pt idx="4">
                  <c:v>3292350</c:v>
                </c:pt>
                <c:pt idx="5">
                  <c:v>3141450</c:v>
                </c:pt>
                <c:pt idx="6">
                  <c:v>2623750</c:v>
                </c:pt>
              </c:numCache>
            </c:numRef>
          </c:val>
          <c:extLst>
            <c:ext xmlns:c16="http://schemas.microsoft.com/office/drawing/2014/chart" uri="{C3380CC4-5D6E-409C-BE32-E72D297353CC}">
              <c16:uniqueId val="{00000000-2001-4DAD-972A-A666B6BA79C5}"/>
            </c:ext>
          </c:extLst>
        </c:ser>
        <c:dLbls>
          <c:showLegendKey val="0"/>
          <c:showVal val="0"/>
          <c:showCatName val="0"/>
          <c:showSerName val="0"/>
          <c:showPercent val="0"/>
          <c:showBubbleSize val="0"/>
        </c:dLbls>
        <c:gapWidth val="219"/>
        <c:overlap val="-27"/>
        <c:axId val="172470879"/>
        <c:axId val="92165615"/>
      </c:barChart>
      <c:catAx>
        <c:axId val="1724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5615"/>
        <c:crosses val="autoZero"/>
        <c:auto val="1"/>
        <c:lblAlgn val="ctr"/>
        <c:lblOffset val="100"/>
        <c:noMultiLvlLbl val="0"/>
      </c:catAx>
      <c:valAx>
        <c:axId val="92165615"/>
        <c:scaling>
          <c:orientation val="minMax"/>
          <c:max val="50000000"/>
        </c:scaling>
        <c:delete val="0"/>
        <c:axPos val="l"/>
        <c:majorGridlines>
          <c:spPr>
            <a:ln w="9525" cap="flat" cmpd="sng" algn="ctr">
              <a:solidFill>
                <a:schemeClr val="tx1">
                  <a:lumMod val="15000"/>
                  <a:lumOff val="85000"/>
                </a:schemeClr>
              </a:solidFill>
              <a:round/>
            </a:ln>
            <a:effectLst/>
          </c:spPr>
        </c:majorGridlines>
        <c:numFmt formatCode="[&gt;=1000000]&quot;$&quot;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70879"/>
        <c:crosses val="autoZero"/>
        <c:crossBetween val="between"/>
        <c:majorUnit val="10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(2)(AutoRecovered).xlsx]Profit_Analysis!Profit_Per_Territory</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b="1">
                <a:solidFill>
                  <a:schemeClr val="tx1"/>
                </a:solidFill>
              </a:rPr>
              <a:t>What was the profit per territory?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E9D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EF9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74C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E9D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EF9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74C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E9D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EF9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74C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5054756604499"/>
          <c:y val="0.2166538780796011"/>
          <c:w val="0.75946605945933832"/>
          <c:h val="0.48640131061623876"/>
        </c:manualLayout>
      </c:layout>
      <c:barChart>
        <c:barDir val="col"/>
        <c:grouping val="stacked"/>
        <c:varyColors val="0"/>
        <c:ser>
          <c:idx val="0"/>
          <c:order val="0"/>
          <c:tx>
            <c:strRef>
              <c:f>Profit_Analysis!$B$15:$B$16</c:f>
              <c:strCache>
                <c:ptCount val="1"/>
                <c:pt idx="0">
                  <c:v>2017</c:v>
                </c:pt>
              </c:strCache>
            </c:strRef>
          </c:tx>
          <c:spPr>
            <a:solidFill>
              <a:srgbClr val="4E9D22"/>
            </a:solidFill>
            <a:ln>
              <a:noFill/>
            </a:ln>
            <a:effectLst/>
          </c:spPr>
          <c:invertIfNegative val="0"/>
          <c:cat>
            <c:strRef>
              <c:f>Profit_Analysis!$A$17</c:f>
              <c:strCache>
                <c:ptCount val="1"/>
                <c:pt idx="0">
                  <c:v>Anglophone</c:v>
                </c:pt>
              </c:strCache>
            </c:strRef>
          </c:cat>
          <c:val>
            <c:numRef>
              <c:f>Profit_Analysis!$B$17</c:f>
              <c:numCache>
                <c:formatCode>_("$"* #,##0_);_("$"* \(#,##0\);_("$"* "-"??_);_(@_)</c:formatCode>
                <c:ptCount val="1"/>
                <c:pt idx="0">
                  <c:v>5566800</c:v>
                </c:pt>
              </c:numCache>
            </c:numRef>
          </c:val>
          <c:extLst>
            <c:ext xmlns:c16="http://schemas.microsoft.com/office/drawing/2014/chart" uri="{C3380CC4-5D6E-409C-BE32-E72D297353CC}">
              <c16:uniqueId val="{00000000-91AE-48A5-BEEB-C2405B14DAAB}"/>
            </c:ext>
          </c:extLst>
        </c:ser>
        <c:ser>
          <c:idx val="1"/>
          <c:order val="1"/>
          <c:tx>
            <c:strRef>
              <c:f>Profit_Analysis!$C$15:$C$16</c:f>
              <c:strCache>
                <c:ptCount val="1"/>
                <c:pt idx="0">
                  <c:v>2018</c:v>
                </c:pt>
              </c:strCache>
            </c:strRef>
          </c:tx>
          <c:spPr>
            <a:solidFill>
              <a:srgbClr val="FEF9E7"/>
            </a:solidFill>
            <a:ln>
              <a:noFill/>
            </a:ln>
            <a:effectLst/>
          </c:spPr>
          <c:invertIfNegative val="0"/>
          <c:cat>
            <c:strRef>
              <c:f>Profit_Analysis!$A$17</c:f>
              <c:strCache>
                <c:ptCount val="1"/>
                <c:pt idx="0">
                  <c:v>Anglophone</c:v>
                </c:pt>
              </c:strCache>
            </c:strRef>
          </c:cat>
          <c:val>
            <c:numRef>
              <c:f>Profit_Analysis!$C$17</c:f>
              <c:numCache>
                <c:formatCode>_("$"* #,##0_);_("$"* \(#,##0\);_("$"* "-"??_);_(@_)</c:formatCode>
                <c:ptCount val="1"/>
                <c:pt idx="0">
                  <c:v>5838340</c:v>
                </c:pt>
              </c:numCache>
            </c:numRef>
          </c:val>
          <c:extLst>
            <c:ext xmlns:c16="http://schemas.microsoft.com/office/drawing/2014/chart" uri="{C3380CC4-5D6E-409C-BE32-E72D297353CC}">
              <c16:uniqueId val="{00000005-D5EF-4888-901C-F18F42E041A3}"/>
            </c:ext>
          </c:extLst>
        </c:ser>
        <c:ser>
          <c:idx val="2"/>
          <c:order val="2"/>
          <c:tx>
            <c:strRef>
              <c:f>Profit_Analysis!$D$15:$D$16</c:f>
              <c:strCache>
                <c:ptCount val="1"/>
                <c:pt idx="0">
                  <c:v>2019</c:v>
                </c:pt>
              </c:strCache>
            </c:strRef>
          </c:tx>
          <c:spPr>
            <a:solidFill>
              <a:srgbClr val="174C54"/>
            </a:solidFill>
            <a:ln>
              <a:noFill/>
            </a:ln>
            <a:effectLst/>
          </c:spPr>
          <c:invertIfNegative val="0"/>
          <c:cat>
            <c:strRef>
              <c:f>Profit_Analysis!$A$17</c:f>
              <c:strCache>
                <c:ptCount val="1"/>
                <c:pt idx="0">
                  <c:v>Anglophone</c:v>
                </c:pt>
              </c:strCache>
            </c:strRef>
          </c:cat>
          <c:val>
            <c:numRef>
              <c:f>Profit_Analysis!$D$17</c:f>
              <c:numCache>
                <c:formatCode>_("$"* #,##0_);_("$"* \(#,##0\);_("$"* "-"??_);_(@_)</c:formatCode>
                <c:ptCount val="1"/>
                <c:pt idx="0">
                  <c:v>3432820</c:v>
                </c:pt>
              </c:numCache>
            </c:numRef>
          </c:val>
          <c:extLst>
            <c:ext xmlns:c16="http://schemas.microsoft.com/office/drawing/2014/chart" uri="{C3380CC4-5D6E-409C-BE32-E72D297353CC}">
              <c16:uniqueId val="{00000006-D5EF-4888-901C-F18F42E041A3}"/>
            </c:ext>
          </c:extLst>
        </c:ser>
        <c:dLbls>
          <c:showLegendKey val="0"/>
          <c:showVal val="0"/>
          <c:showCatName val="0"/>
          <c:showSerName val="0"/>
          <c:showPercent val="0"/>
          <c:showBubbleSize val="0"/>
        </c:dLbls>
        <c:gapWidth val="150"/>
        <c:overlap val="100"/>
        <c:axId val="94751103"/>
        <c:axId val="92217935"/>
      </c:barChart>
      <c:catAx>
        <c:axId val="947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217935"/>
        <c:crosses val="autoZero"/>
        <c:auto val="1"/>
        <c:lblAlgn val="ctr"/>
        <c:lblOffset val="100"/>
        <c:noMultiLvlLbl val="0"/>
      </c:catAx>
      <c:valAx>
        <c:axId val="92217935"/>
        <c:scaling>
          <c:orientation val="minMax"/>
        </c:scaling>
        <c:delete val="0"/>
        <c:axPos val="l"/>
        <c:numFmt formatCode="[&gt;=1000000]&quot;$&quot;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751103"/>
        <c:crosses val="autoZero"/>
        <c:crossBetween val="between"/>
      </c:valAx>
      <c:spPr>
        <a:noFill/>
        <a:ln>
          <a:noFill/>
        </a:ln>
        <a:effectLst/>
      </c:spPr>
    </c:plotArea>
    <c:legend>
      <c:legendPos val="b"/>
      <c:layout>
        <c:manualLayout>
          <c:xMode val="edge"/>
          <c:yMode val="edge"/>
          <c:x val="0.31661796535694425"/>
          <c:y val="0.84377290892339118"/>
          <c:w val="0.48112405262959007"/>
          <c:h val="0.1217656513752711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(2)(AutoRecovered).xlsx]Brand_Analysis!Beer_Products_VS_Qty</c:name>
    <c:fmtId val="6"/>
  </c:pivotSource>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US" sz="1000" b="1">
                <a:solidFill>
                  <a:schemeClr val="tx1"/>
                </a:solidFill>
              </a:rPr>
              <a:t>What</a:t>
            </a:r>
            <a:r>
              <a:rPr lang="en-US" sz="1000" b="1" baseline="0">
                <a:solidFill>
                  <a:schemeClr val="tx1"/>
                </a:solidFill>
              </a:rPr>
              <a:t> brands quantity was purchased the most?</a:t>
            </a:r>
            <a:endParaRPr lang="en-US" sz="1000" b="1">
              <a:solidFill>
                <a:schemeClr val="tx1"/>
              </a:solidFill>
            </a:endParaRPr>
          </a:p>
        </c:rich>
      </c:tx>
      <c:layout>
        <c:manualLayout>
          <c:xMode val="edge"/>
          <c:yMode val="edge"/>
          <c:x val="0.13159735913873755"/>
          <c:y val="3.954011003333927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44815073717586"/>
          <c:y val="0.30171727982875124"/>
          <c:w val="0.68605596440184824"/>
          <c:h val="0.5514416083108663"/>
        </c:manualLayout>
      </c:layout>
      <c:barChart>
        <c:barDir val="bar"/>
        <c:grouping val="clustered"/>
        <c:varyColors val="0"/>
        <c:ser>
          <c:idx val="0"/>
          <c:order val="0"/>
          <c:tx>
            <c:strRef>
              <c:f>Brand_Analysis!$B$1</c:f>
              <c:strCache>
                <c:ptCount val="1"/>
                <c:pt idx="0">
                  <c:v>Total</c:v>
                </c:pt>
              </c:strCache>
            </c:strRef>
          </c:tx>
          <c:spPr>
            <a:solidFill>
              <a:srgbClr val="13434C"/>
            </a:solidFill>
            <a:ln>
              <a:noFill/>
            </a:ln>
            <a:effectLst/>
          </c:spPr>
          <c:invertIfNegative val="0"/>
          <c:cat>
            <c:strRef>
              <c:f>Brand_Analysis!$A$2:$A$7</c:f>
              <c:strCache>
                <c:ptCount val="6"/>
                <c:pt idx="0">
                  <c:v>Grand Malt</c:v>
                </c:pt>
                <c:pt idx="1">
                  <c:v>Beta Malt</c:v>
                </c:pt>
                <c:pt idx="2">
                  <c:v>Castle Lite</c:v>
                </c:pt>
                <c:pt idx="3">
                  <c:v>Trophy</c:v>
                </c:pt>
                <c:pt idx="4">
                  <c:v>Hero</c:v>
                </c:pt>
                <c:pt idx="5">
                  <c:v>Eagle Lager</c:v>
                </c:pt>
              </c:strCache>
            </c:strRef>
          </c:cat>
          <c:val>
            <c:numRef>
              <c:f>Brand_Analysis!$B$2:$B$7</c:f>
              <c:numCache>
                <c:formatCode>_(* #,##0_);_(* \(#,##0\);_(* "-"??_);_(@_)</c:formatCode>
                <c:ptCount val="6"/>
                <c:pt idx="0">
                  <c:v>24666</c:v>
                </c:pt>
                <c:pt idx="1">
                  <c:v>25381</c:v>
                </c:pt>
                <c:pt idx="2">
                  <c:v>25681</c:v>
                </c:pt>
                <c:pt idx="3">
                  <c:v>25743</c:v>
                </c:pt>
                <c:pt idx="4">
                  <c:v>25811</c:v>
                </c:pt>
                <c:pt idx="5">
                  <c:v>25872</c:v>
                </c:pt>
              </c:numCache>
            </c:numRef>
          </c:val>
          <c:extLst>
            <c:ext xmlns:c16="http://schemas.microsoft.com/office/drawing/2014/chart" uri="{C3380CC4-5D6E-409C-BE32-E72D297353CC}">
              <c16:uniqueId val="{00000000-FA25-44D1-A0D4-D6E43F29CB97}"/>
            </c:ext>
          </c:extLst>
        </c:ser>
        <c:dLbls>
          <c:showLegendKey val="0"/>
          <c:showVal val="0"/>
          <c:showCatName val="0"/>
          <c:showSerName val="0"/>
          <c:showPercent val="0"/>
          <c:showBubbleSize val="0"/>
        </c:dLbls>
        <c:gapWidth val="182"/>
        <c:axId val="172505679"/>
        <c:axId val="92195375"/>
      </c:barChart>
      <c:catAx>
        <c:axId val="17250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5375"/>
        <c:crosses val="autoZero"/>
        <c:auto val="1"/>
        <c:lblAlgn val="ctr"/>
        <c:lblOffset val="100"/>
        <c:noMultiLvlLbl val="0"/>
      </c:catAx>
      <c:valAx>
        <c:axId val="92195375"/>
        <c:scaling>
          <c:orientation val="minMax"/>
        </c:scaling>
        <c:delete val="0"/>
        <c:axPos val="b"/>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(2)(AutoRecovered).xlsx]Profit_Analysis!Profit_per_Year_Month</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050" b="1">
                <a:solidFill>
                  <a:schemeClr val="tx1"/>
                </a:solidFill>
              </a:rPr>
              <a:t>Year VS</a:t>
            </a:r>
            <a:r>
              <a:rPr lang="en-US" sz="1050" b="1" baseline="0">
                <a:solidFill>
                  <a:schemeClr val="tx1"/>
                </a:solidFill>
              </a:rPr>
              <a:t> Profit</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2225">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2225">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2225">
            <a:no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222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222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2222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222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222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222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2222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2222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2222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22225" cap="rnd">
            <a:solidFill>
              <a:srgbClr val="00C5A1"/>
            </a:solidFill>
            <a:round/>
          </a:ln>
          <a:effectLst/>
        </c:spPr>
        <c:marker>
          <c:spPr>
            <a:solidFill>
              <a:srgbClr val="00C5A1"/>
            </a:solidFill>
            <a:ln w="9525">
              <a:solidFill>
                <a:srgbClr val="00C5A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22225" cap="rnd">
            <a:solidFill>
              <a:srgbClr val="13434C"/>
            </a:solidFill>
            <a:round/>
          </a:ln>
          <a:effectLst/>
        </c:spPr>
        <c:marker>
          <c:spPr>
            <a:solidFill>
              <a:srgbClr val="13434C"/>
            </a:solidFill>
            <a:ln w="9525">
              <a:solidFill>
                <a:srgbClr val="1343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w="22225" cap="rnd">
            <a:solidFill>
              <a:srgbClr val="4E9D22"/>
            </a:solidFill>
            <a:round/>
          </a:ln>
          <a:effectLst/>
        </c:spPr>
        <c:marker>
          <c:spPr>
            <a:solidFill>
              <a:srgbClr val="4E9D22"/>
            </a:solidFill>
            <a:ln w="9525">
              <a:solidFill>
                <a:srgbClr val="4E9D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22225" cap="rnd">
            <a:solidFill>
              <a:srgbClr val="00C5A1"/>
            </a:solidFill>
            <a:round/>
          </a:ln>
          <a:effectLst/>
        </c:spPr>
        <c:marker>
          <c:spPr>
            <a:solidFill>
              <a:srgbClr val="00C5A1"/>
            </a:solidFill>
            <a:ln w="9525">
              <a:solidFill>
                <a:srgbClr val="00C5A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w="22225" cap="rnd">
            <a:solidFill>
              <a:srgbClr val="13434C"/>
            </a:solidFill>
            <a:round/>
          </a:ln>
          <a:effectLst/>
        </c:spPr>
        <c:marker>
          <c:spPr>
            <a:solidFill>
              <a:srgbClr val="13434C"/>
            </a:solidFill>
            <a:ln w="9525">
              <a:solidFill>
                <a:srgbClr val="1343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2225" cap="rnd">
            <a:solidFill>
              <a:srgbClr val="4E9D22"/>
            </a:solidFill>
            <a:round/>
          </a:ln>
          <a:effectLst/>
        </c:spPr>
        <c:marker>
          <c:spPr>
            <a:solidFill>
              <a:srgbClr val="4E9D22"/>
            </a:solidFill>
            <a:ln w="9525">
              <a:solidFill>
                <a:srgbClr val="4E9D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ln w="22225" cap="rnd">
            <a:solidFill>
              <a:srgbClr val="00C5A1"/>
            </a:solidFill>
            <a:round/>
          </a:ln>
          <a:effectLst/>
        </c:spPr>
        <c:marker>
          <c:symbol val="circle"/>
          <c:size val="3"/>
          <c:spPr>
            <a:solidFill>
              <a:srgbClr val="00C5A1"/>
            </a:solidFill>
            <a:ln w="9525">
              <a:solidFill>
                <a:srgbClr val="00C5A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rgbClr val="13434C"/>
            </a:solidFill>
            <a:round/>
          </a:ln>
          <a:effectLst/>
        </c:spPr>
        <c:marker>
          <c:symbol val="circle"/>
          <c:size val="3"/>
          <c:spPr>
            <a:solidFill>
              <a:srgbClr val="13434C"/>
            </a:solidFill>
            <a:ln w="9525">
              <a:solidFill>
                <a:srgbClr val="1343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rgbClr val="4E9D22"/>
            </a:solidFill>
            <a:round/>
          </a:ln>
          <a:effectLst/>
        </c:spPr>
        <c:marker>
          <c:symbol val="circle"/>
          <c:size val="3"/>
          <c:spPr>
            <a:solidFill>
              <a:srgbClr val="4E9D22"/>
            </a:solidFill>
            <a:ln w="9525">
              <a:solidFill>
                <a:srgbClr val="4E9D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Profit_Analysis!$B$22:$B$23</c:f>
              <c:strCache>
                <c:ptCount val="1"/>
                <c:pt idx="0">
                  <c:v>2017</c:v>
                </c:pt>
              </c:strCache>
            </c:strRef>
          </c:tx>
          <c:spPr>
            <a:ln w="22225" cap="rnd">
              <a:solidFill>
                <a:srgbClr val="00C5A1"/>
              </a:solidFill>
              <a:round/>
            </a:ln>
            <a:effectLst/>
          </c:spPr>
          <c:marker>
            <c:symbol val="circle"/>
            <c:size val="3"/>
            <c:spPr>
              <a:solidFill>
                <a:srgbClr val="00C5A1"/>
              </a:solidFill>
              <a:ln w="9525">
                <a:solidFill>
                  <a:srgbClr val="00C5A1"/>
                </a:solidFill>
              </a:ln>
              <a:effectLst/>
            </c:spPr>
          </c:marker>
          <c:cat>
            <c:strRef>
              <c:f>Profit_Analysis!$A$24:$A$35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Profit_Analysis!$B$24:$B$35</c:f>
              <c:numCache>
                <c:formatCode>_("$"* #,##0_);_("$"* \(#,##0\);_("$"* "-"??_);_(@_)</c:formatCode>
                <c:ptCount val="12"/>
                <c:pt idx="0">
                  <c:v>249680</c:v>
                </c:pt>
                <c:pt idx="1">
                  <c:v>35050</c:v>
                </c:pt>
                <c:pt idx="2">
                  <c:v>450430</c:v>
                </c:pt>
                <c:pt idx="3">
                  <c:v>724450</c:v>
                </c:pt>
                <c:pt idx="4">
                  <c:v>1030540</c:v>
                </c:pt>
                <c:pt idx="5">
                  <c:v>321580</c:v>
                </c:pt>
                <c:pt idx="6">
                  <c:v>220360</c:v>
                </c:pt>
                <c:pt idx="7">
                  <c:v>743240</c:v>
                </c:pt>
                <c:pt idx="8">
                  <c:v>655550</c:v>
                </c:pt>
                <c:pt idx="9">
                  <c:v>314660</c:v>
                </c:pt>
                <c:pt idx="10">
                  <c:v>639550</c:v>
                </c:pt>
                <c:pt idx="11">
                  <c:v>181710</c:v>
                </c:pt>
              </c:numCache>
            </c:numRef>
          </c:val>
          <c:smooth val="0"/>
          <c:extLst>
            <c:ext xmlns:c16="http://schemas.microsoft.com/office/drawing/2014/chart" uri="{C3380CC4-5D6E-409C-BE32-E72D297353CC}">
              <c16:uniqueId val="{00000000-7B15-477B-981F-181D3CD4EA9D}"/>
            </c:ext>
          </c:extLst>
        </c:ser>
        <c:ser>
          <c:idx val="1"/>
          <c:order val="1"/>
          <c:tx>
            <c:strRef>
              <c:f>Profit_Analysis!$C$22:$C$23</c:f>
              <c:strCache>
                <c:ptCount val="1"/>
                <c:pt idx="0">
                  <c:v>2018</c:v>
                </c:pt>
              </c:strCache>
            </c:strRef>
          </c:tx>
          <c:spPr>
            <a:ln w="22225" cap="rnd">
              <a:solidFill>
                <a:srgbClr val="13434C"/>
              </a:solidFill>
              <a:round/>
            </a:ln>
            <a:effectLst/>
          </c:spPr>
          <c:marker>
            <c:symbol val="circle"/>
            <c:size val="3"/>
            <c:spPr>
              <a:solidFill>
                <a:srgbClr val="13434C"/>
              </a:solidFill>
              <a:ln w="9525">
                <a:solidFill>
                  <a:srgbClr val="13434C"/>
                </a:solidFill>
              </a:ln>
              <a:effectLst/>
            </c:spPr>
          </c:marker>
          <c:cat>
            <c:strRef>
              <c:f>Profit_Analysis!$A$24:$A$35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Profit_Analysis!$C$24:$C$35</c:f>
              <c:numCache>
                <c:formatCode>_("$"* #,##0_);_("$"* \(#,##0\);_("$"* "-"??_);_(@_)</c:formatCode>
                <c:ptCount val="12"/>
                <c:pt idx="0">
                  <c:v>615530</c:v>
                </c:pt>
                <c:pt idx="1">
                  <c:v>1175660</c:v>
                </c:pt>
                <c:pt idx="2">
                  <c:v>502070</c:v>
                </c:pt>
                <c:pt idx="3">
                  <c:v>150620</c:v>
                </c:pt>
                <c:pt idx="4">
                  <c:v>169920</c:v>
                </c:pt>
                <c:pt idx="5">
                  <c:v>559850</c:v>
                </c:pt>
                <c:pt idx="6">
                  <c:v>788990</c:v>
                </c:pt>
                <c:pt idx="7">
                  <c:v>176230</c:v>
                </c:pt>
                <c:pt idx="8">
                  <c:v>214350</c:v>
                </c:pt>
                <c:pt idx="9">
                  <c:v>426910</c:v>
                </c:pt>
                <c:pt idx="10">
                  <c:v>308110</c:v>
                </c:pt>
                <c:pt idx="11">
                  <c:v>750100</c:v>
                </c:pt>
              </c:numCache>
            </c:numRef>
          </c:val>
          <c:smooth val="0"/>
          <c:extLst>
            <c:ext xmlns:c16="http://schemas.microsoft.com/office/drawing/2014/chart" uri="{C3380CC4-5D6E-409C-BE32-E72D297353CC}">
              <c16:uniqueId val="{00000005-031A-496D-80B1-81725C5340B4}"/>
            </c:ext>
          </c:extLst>
        </c:ser>
        <c:ser>
          <c:idx val="2"/>
          <c:order val="2"/>
          <c:tx>
            <c:strRef>
              <c:f>Profit_Analysis!$D$22:$D$23</c:f>
              <c:strCache>
                <c:ptCount val="1"/>
                <c:pt idx="0">
                  <c:v>2019</c:v>
                </c:pt>
              </c:strCache>
            </c:strRef>
          </c:tx>
          <c:spPr>
            <a:ln w="22225" cap="rnd">
              <a:solidFill>
                <a:srgbClr val="4E9D22"/>
              </a:solidFill>
              <a:round/>
            </a:ln>
            <a:effectLst/>
          </c:spPr>
          <c:marker>
            <c:symbol val="circle"/>
            <c:size val="3"/>
            <c:spPr>
              <a:solidFill>
                <a:srgbClr val="4E9D22"/>
              </a:solidFill>
              <a:ln w="9525">
                <a:solidFill>
                  <a:srgbClr val="4E9D22"/>
                </a:solidFill>
              </a:ln>
              <a:effectLst/>
            </c:spPr>
          </c:marker>
          <c:cat>
            <c:strRef>
              <c:f>Profit_Analysis!$A$24:$A$35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Profit_Analysis!$D$24:$D$35</c:f>
              <c:numCache>
                <c:formatCode>_("$"* #,##0_);_("$"* \(#,##0\);_("$"* "-"??_);_(@_)</c:formatCode>
                <c:ptCount val="12"/>
                <c:pt idx="0">
                  <c:v>458880</c:v>
                </c:pt>
                <c:pt idx="1">
                  <c:v>115760</c:v>
                </c:pt>
                <c:pt idx="2">
                  <c:v>449750</c:v>
                </c:pt>
                <c:pt idx="3">
                  <c:v>440240</c:v>
                </c:pt>
                <c:pt idx="4">
                  <c:v>197620</c:v>
                </c:pt>
                <c:pt idx="5">
                  <c:v>244160</c:v>
                </c:pt>
                <c:pt idx="6">
                  <c:v>192600</c:v>
                </c:pt>
                <c:pt idx="7">
                  <c:v>206580</c:v>
                </c:pt>
                <c:pt idx="8">
                  <c:v>228450</c:v>
                </c:pt>
                <c:pt idx="9">
                  <c:v>374450</c:v>
                </c:pt>
                <c:pt idx="10">
                  <c:v>210230</c:v>
                </c:pt>
                <c:pt idx="11">
                  <c:v>314100</c:v>
                </c:pt>
              </c:numCache>
            </c:numRef>
          </c:val>
          <c:smooth val="0"/>
          <c:extLst>
            <c:ext xmlns:c16="http://schemas.microsoft.com/office/drawing/2014/chart" uri="{C3380CC4-5D6E-409C-BE32-E72D297353CC}">
              <c16:uniqueId val="{00000006-031A-496D-80B1-81725C5340B4}"/>
            </c:ext>
          </c:extLst>
        </c:ser>
        <c:dLbls>
          <c:showLegendKey val="0"/>
          <c:showVal val="0"/>
          <c:showCatName val="0"/>
          <c:showSerName val="0"/>
          <c:showPercent val="0"/>
          <c:showBubbleSize val="0"/>
        </c:dLbls>
        <c:marker val="1"/>
        <c:smooth val="0"/>
        <c:axId val="189575679"/>
        <c:axId val="92237135"/>
      </c:lineChart>
      <c:catAx>
        <c:axId val="18957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2237135"/>
        <c:crosses val="autoZero"/>
        <c:auto val="1"/>
        <c:lblAlgn val="ctr"/>
        <c:lblOffset val="100"/>
        <c:noMultiLvlLbl val="0"/>
      </c:catAx>
      <c:valAx>
        <c:axId val="92237135"/>
        <c:scaling>
          <c:orientation val="minMax"/>
          <c:min val="1000000"/>
        </c:scaling>
        <c:delete val="0"/>
        <c:axPos val="l"/>
        <c:majorGridlines>
          <c:spPr>
            <a:ln w="9525" cap="flat" cmpd="sng" algn="ctr">
              <a:solidFill>
                <a:schemeClr val="tx1">
                  <a:lumMod val="15000"/>
                  <a:lumOff val="85000"/>
                </a:schemeClr>
              </a:solidFill>
              <a:round/>
            </a:ln>
            <a:effectLst/>
          </c:spPr>
        </c:majorGridlines>
        <c:numFmt formatCode="[&gt;=1000000]&quot;$&quot;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5679"/>
        <c:crosses val="autoZero"/>
        <c:crossBetween val="between"/>
        <c:majorUnit val="10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(2)(AutoRecovered).xlsx]Countries_Analysis!Country_Qty_VS_Profit</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b="1">
                <a:solidFill>
                  <a:schemeClr val="tx1"/>
                </a:solidFill>
              </a:rPr>
              <a:t>Profit Vs Quantity</a:t>
            </a:r>
          </a:p>
        </c:rich>
      </c:tx>
      <c:layout>
        <c:manualLayout>
          <c:xMode val="edge"/>
          <c:yMode val="edge"/>
          <c:x val="0.29037445310460008"/>
          <c:y val="3.1054856447703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rgbClr val="4E9D22"/>
            </a:solidFill>
            <a:round/>
          </a:ln>
          <a:effectLst/>
        </c:spPr>
        <c:marker>
          <c:symbol val="circle"/>
          <c:size val="3"/>
          <c:spPr>
            <a:solidFill>
              <a:srgbClr val="4E9D22"/>
            </a:solidFill>
            <a:ln w="9525">
              <a:solidFill>
                <a:srgbClr val="4E9D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rgbClr val="4E9D22"/>
            </a:solidFill>
            <a:round/>
          </a:ln>
          <a:effectLst/>
        </c:spPr>
        <c:marker>
          <c:symbol val="circle"/>
          <c:size val="3"/>
          <c:spPr>
            <a:solidFill>
              <a:srgbClr val="4E9D22"/>
            </a:solidFill>
            <a:ln w="9525">
              <a:solidFill>
                <a:srgbClr val="4E9D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rgbClr val="4E9D22"/>
            </a:solidFill>
            <a:round/>
          </a:ln>
          <a:effectLst/>
        </c:spPr>
        <c:marker>
          <c:symbol val="circle"/>
          <c:size val="3"/>
          <c:spPr>
            <a:solidFill>
              <a:srgbClr val="4E9D22"/>
            </a:solidFill>
            <a:ln w="9525">
              <a:solidFill>
                <a:srgbClr val="4E9D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634712383271"/>
          <c:y val="0.19743124986627461"/>
          <c:w val="0.63613031937376363"/>
          <c:h val="0.52139147764264293"/>
        </c:manualLayout>
      </c:layout>
      <c:barChart>
        <c:barDir val="col"/>
        <c:grouping val="clustered"/>
        <c:varyColors val="0"/>
        <c:ser>
          <c:idx val="0"/>
          <c:order val="0"/>
          <c:tx>
            <c:strRef>
              <c:f>Countries_Analysis!$B$1</c:f>
              <c:strCache>
                <c:ptCount val="1"/>
                <c:pt idx="0">
                  <c:v>Total Quanity</c:v>
                </c:pt>
              </c:strCache>
            </c:strRef>
          </c:tx>
          <c:spPr>
            <a:solidFill>
              <a:srgbClr val="13434C"/>
            </a:solidFill>
            <a:ln>
              <a:noFill/>
            </a:ln>
            <a:effectLst/>
          </c:spPr>
          <c:invertIfNegative val="0"/>
          <c:cat>
            <c:strRef>
              <c:f>Countries_Analysis!$A$2:$A$3</c:f>
              <c:strCache>
                <c:ptCount val="1"/>
                <c:pt idx="0">
                  <c:v>Nigeria</c:v>
                </c:pt>
              </c:strCache>
            </c:strRef>
          </c:cat>
          <c:val>
            <c:numRef>
              <c:f>Countries_Analysis!$B$2:$B$3</c:f>
              <c:numCache>
                <c:formatCode>_(* #,##0_);_(* \(#,##0\);_(* "-"??_);_(@_)</c:formatCode>
                <c:ptCount val="1"/>
                <c:pt idx="0">
                  <c:v>153154</c:v>
                </c:pt>
              </c:numCache>
            </c:numRef>
          </c:val>
          <c:extLst>
            <c:ext xmlns:c16="http://schemas.microsoft.com/office/drawing/2014/chart" uri="{C3380CC4-5D6E-409C-BE32-E72D297353CC}">
              <c16:uniqueId val="{00000000-B13C-4BB8-AB22-083A3FAC9C27}"/>
            </c:ext>
          </c:extLst>
        </c:ser>
        <c:dLbls>
          <c:showLegendKey val="0"/>
          <c:showVal val="0"/>
          <c:showCatName val="0"/>
          <c:showSerName val="0"/>
          <c:showPercent val="0"/>
          <c:showBubbleSize val="0"/>
        </c:dLbls>
        <c:gapWidth val="219"/>
        <c:overlap val="-27"/>
        <c:axId val="2005735023"/>
        <c:axId val="92244815"/>
      </c:barChart>
      <c:lineChart>
        <c:grouping val="standard"/>
        <c:varyColors val="0"/>
        <c:ser>
          <c:idx val="1"/>
          <c:order val="1"/>
          <c:tx>
            <c:strRef>
              <c:f>Countries_Analysis!$C$1</c:f>
              <c:strCache>
                <c:ptCount val="1"/>
                <c:pt idx="0">
                  <c:v>Total Profit</c:v>
                </c:pt>
              </c:strCache>
            </c:strRef>
          </c:tx>
          <c:spPr>
            <a:ln w="22225" cap="rnd">
              <a:solidFill>
                <a:srgbClr val="4E9D22"/>
              </a:solidFill>
              <a:round/>
            </a:ln>
            <a:effectLst/>
          </c:spPr>
          <c:marker>
            <c:symbol val="circle"/>
            <c:size val="3"/>
            <c:spPr>
              <a:solidFill>
                <a:srgbClr val="4E9D22"/>
              </a:solidFill>
              <a:ln w="9525">
                <a:solidFill>
                  <a:srgbClr val="4E9D22"/>
                </a:solidFill>
              </a:ln>
              <a:effectLst/>
            </c:spPr>
          </c:marker>
          <c:cat>
            <c:strRef>
              <c:f>Countries_Analysis!$A$2:$A$3</c:f>
              <c:strCache>
                <c:ptCount val="1"/>
                <c:pt idx="0">
                  <c:v>Nigeria</c:v>
                </c:pt>
              </c:strCache>
            </c:strRef>
          </c:cat>
          <c:val>
            <c:numRef>
              <c:f>Countries_Analysis!$C$2:$C$3</c:f>
              <c:numCache>
                <c:formatCode>_("$"* #,##0_);_("$"* \(#,##0\);_("$"* "-"??_);_(@_)</c:formatCode>
                <c:ptCount val="1"/>
                <c:pt idx="0">
                  <c:v>14837960</c:v>
                </c:pt>
              </c:numCache>
            </c:numRef>
          </c:val>
          <c:smooth val="0"/>
          <c:extLst>
            <c:ext xmlns:c16="http://schemas.microsoft.com/office/drawing/2014/chart" uri="{C3380CC4-5D6E-409C-BE32-E72D297353CC}">
              <c16:uniqueId val="{00000001-B13C-4BB8-AB22-083A3FAC9C27}"/>
            </c:ext>
          </c:extLst>
        </c:ser>
        <c:dLbls>
          <c:showLegendKey val="0"/>
          <c:showVal val="0"/>
          <c:showCatName val="0"/>
          <c:showSerName val="0"/>
          <c:showPercent val="0"/>
          <c:showBubbleSize val="0"/>
        </c:dLbls>
        <c:marker val="1"/>
        <c:smooth val="0"/>
        <c:axId val="1886382431"/>
        <c:axId val="92261615"/>
      </c:lineChart>
      <c:catAx>
        <c:axId val="200573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2244815"/>
        <c:crosses val="autoZero"/>
        <c:auto val="1"/>
        <c:lblAlgn val="ctr"/>
        <c:lblOffset val="100"/>
        <c:noMultiLvlLbl val="0"/>
      </c:catAx>
      <c:valAx>
        <c:axId val="92244815"/>
        <c:scaling>
          <c:orientation val="minMax"/>
        </c:scaling>
        <c:delete val="0"/>
        <c:axPos val="l"/>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35023"/>
        <c:crosses val="autoZero"/>
        <c:crossBetween val="between"/>
      </c:valAx>
      <c:valAx>
        <c:axId val="92261615"/>
        <c:scaling>
          <c:orientation val="minMax"/>
        </c:scaling>
        <c:delete val="0"/>
        <c:axPos val="r"/>
        <c:numFmt formatCode="[&gt;=1000000]&quot;$&quot;0.0,,&quot;M&quot;;[&gt;=10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382431"/>
        <c:crosses val="max"/>
        <c:crossBetween val="between"/>
      </c:valAx>
      <c:catAx>
        <c:axId val="1886382431"/>
        <c:scaling>
          <c:orientation val="minMax"/>
        </c:scaling>
        <c:delete val="1"/>
        <c:axPos val="b"/>
        <c:numFmt formatCode="General" sourceLinked="1"/>
        <c:majorTickMark val="out"/>
        <c:minorTickMark val="none"/>
        <c:tickLblPos val="nextTo"/>
        <c:crossAx val="92261615"/>
        <c:crosses val="autoZero"/>
        <c:auto val="1"/>
        <c:lblAlgn val="ctr"/>
        <c:lblOffset val="100"/>
        <c:noMultiLvlLbl val="0"/>
      </c:catAx>
      <c:spPr>
        <a:noFill/>
        <a:ln>
          <a:noFill/>
        </a:ln>
        <a:effectLst/>
      </c:spPr>
    </c:plotArea>
    <c:legend>
      <c:legendPos val="b"/>
      <c:layout>
        <c:manualLayout>
          <c:xMode val="edge"/>
          <c:yMode val="edge"/>
          <c:x val="0.12759959648559241"/>
          <c:y val="0.85507224227678558"/>
          <c:w val="0.73525772886010932"/>
          <c:h val="0.1216366153874368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(2)(AutoRecovered).xlsx]Countries_Analysis!Sales_Person_revenue</c:name>
    <c:fmtId val="10"/>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b="1">
                <a:solidFill>
                  <a:schemeClr val="tx1"/>
                </a:solidFill>
              </a:rPr>
              <a:t>What is the Sales</a:t>
            </a:r>
            <a:r>
              <a:rPr lang="en-US" sz="1100" b="1" baseline="0">
                <a:solidFill>
                  <a:schemeClr val="tx1"/>
                </a:solidFill>
              </a:rPr>
              <a:t> made per Salesman</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5315288431721"/>
          <c:y val="0.19162316121600256"/>
          <c:w val="0.76605327263755529"/>
          <c:h val="0.535924943070478"/>
        </c:manualLayout>
      </c:layout>
      <c:barChart>
        <c:barDir val="col"/>
        <c:grouping val="clustered"/>
        <c:varyColors val="0"/>
        <c:ser>
          <c:idx val="0"/>
          <c:order val="0"/>
          <c:tx>
            <c:strRef>
              <c:f>Countries_Analysis!$B$14</c:f>
              <c:strCache>
                <c:ptCount val="1"/>
                <c:pt idx="0">
                  <c:v>Total</c:v>
                </c:pt>
              </c:strCache>
            </c:strRef>
          </c:tx>
          <c:spPr>
            <a:solidFill>
              <a:srgbClr val="13434C"/>
            </a:solidFill>
            <a:ln>
              <a:noFill/>
            </a:ln>
            <a:effectLst/>
          </c:spPr>
          <c:invertIfNegative val="0"/>
          <c:cat>
            <c:strRef>
              <c:f>Countries_Analysis!$A$15:$A$22</c:f>
              <c:strCache>
                <c:ptCount val="7"/>
                <c:pt idx="0">
                  <c:v>Jones</c:v>
                </c:pt>
                <c:pt idx="1">
                  <c:v>Sorvino</c:v>
                </c:pt>
                <c:pt idx="2">
                  <c:v>Jardine</c:v>
                </c:pt>
                <c:pt idx="3">
                  <c:v>Andrews</c:v>
                </c:pt>
                <c:pt idx="4">
                  <c:v>Morgan</c:v>
                </c:pt>
                <c:pt idx="5">
                  <c:v>Gill</c:v>
                </c:pt>
                <c:pt idx="6">
                  <c:v>Kivell</c:v>
                </c:pt>
              </c:strCache>
            </c:strRef>
          </c:cat>
          <c:val>
            <c:numRef>
              <c:f>Countries_Analysis!$B$15:$B$22</c:f>
              <c:numCache>
                <c:formatCode>_("$"* #,##0_);_("$"* \(#,##0\);_("$"* "-"??_);_(@_)</c:formatCode>
                <c:ptCount val="7"/>
                <c:pt idx="0">
                  <c:v>5540600</c:v>
                </c:pt>
                <c:pt idx="1">
                  <c:v>4673100</c:v>
                </c:pt>
                <c:pt idx="2">
                  <c:v>4455550</c:v>
                </c:pt>
                <c:pt idx="3">
                  <c:v>4189350</c:v>
                </c:pt>
                <c:pt idx="4">
                  <c:v>3292350</c:v>
                </c:pt>
                <c:pt idx="5">
                  <c:v>3141450</c:v>
                </c:pt>
                <c:pt idx="6">
                  <c:v>2623750</c:v>
                </c:pt>
              </c:numCache>
            </c:numRef>
          </c:val>
          <c:extLst>
            <c:ext xmlns:c16="http://schemas.microsoft.com/office/drawing/2014/chart" uri="{C3380CC4-5D6E-409C-BE32-E72D297353CC}">
              <c16:uniqueId val="{00000000-7C57-4F6F-A22E-F2BED7B42E46}"/>
            </c:ext>
          </c:extLst>
        </c:ser>
        <c:dLbls>
          <c:showLegendKey val="0"/>
          <c:showVal val="0"/>
          <c:showCatName val="0"/>
          <c:showSerName val="0"/>
          <c:showPercent val="0"/>
          <c:showBubbleSize val="0"/>
        </c:dLbls>
        <c:gapWidth val="219"/>
        <c:overlap val="-27"/>
        <c:axId val="172470879"/>
        <c:axId val="92165615"/>
      </c:barChart>
      <c:catAx>
        <c:axId val="1724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92165615"/>
        <c:crosses val="autoZero"/>
        <c:auto val="1"/>
        <c:lblAlgn val="ctr"/>
        <c:lblOffset val="100"/>
        <c:noMultiLvlLbl val="0"/>
      </c:catAx>
      <c:valAx>
        <c:axId val="92165615"/>
        <c:scaling>
          <c:orientation val="minMax"/>
          <c:max val="50000000"/>
        </c:scaling>
        <c:delete val="0"/>
        <c:axPos val="l"/>
        <c:numFmt formatCode="[&gt;=1000000]&quot;$&quot;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70879"/>
        <c:crosses val="autoZero"/>
        <c:crossBetween val="between"/>
        <c:majorUnit val="10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(2)(AutoRecovered).xlsx]Profit_Analysis!PivotTable25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050" b="1">
                <a:solidFill>
                  <a:schemeClr val="tx1"/>
                </a:solidFill>
              </a:rPr>
              <a:t>What brand generated</a:t>
            </a:r>
            <a:r>
              <a:rPr lang="en-US" sz="1050" b="1" baseline="0">
                <a:solidFill>
                  <a:schemeClr val="tx1"/>
                </a:solidFill>
              </a:rPr>
              <a:t> the highest profit?</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99410749553197"/>
          <c:y val="0.28996806991218604"/>
          <c:w val="0.76431279434783872"/>
          <c:h val="0.40665683755038151"/>
        </c:manualLayout>
      </c:layout>
      <c:barChart>
        <c:barDir val="col"/>
        <c:grouping val="clustered"/>
        <c:varyColors val="0"/>
        <c:ser>
          <c:idx val="0"/>
          <c:order val="0"/>
          <c:tx>
            <c:strRef>
              <c:f>Profit_Analysis!$G$22</c:f>
              <c:strCache>
                <c:ptCount val="1"/>
                <c:pt idx="0">
                  <c:v>Total</c:v>
                </c:pt>
              </c:strCache>
            </c:strRef>
          </c:tx>
          <c:spPr>
            <a:solidFill>
              <a:srgbClr val="13434C"/>
            </a:solidFill>
            <a:ln>
              <a:noFill/>
            </a:ln>
            <a:effectLst/>
          </c:spPr>
          <c:invertIfNegative val="0"/>
          <c:cat>
            <c:strRef>
              <c:f>Profit_Analysis!$F$23:$F$30</c:f>
              <c:strCache>
                <c:ptCount val="7"/>
                <c:pt idx="0">
                  <c:v>Beta Malt</c:v>
                </c:pt>
                <c:pt idx="1">
                  <c:v>Budweiser</c:v>
                </c:pt>
                <c:pt idx="2">
                  <c:v>Castle Lite</c:v>
                </c:pt>
                <c:pt idx="3">
                  <c:v>Eagle Lager</c:v>
                </c:pt>
                <c:pt idx="4">
                  <c:v>Grand Malt</c:v>
                </c:pt>
                <c:pt idx="5">
                  <c:v>Hero</c:v>
                </c:pt>
                <c:pt idx="6">
                  <c:v>Trophy</c:v>
                </c:pt>
              </c:strCache>
            </c:strRef>
          </c:cat>
          <c:val>
            <c:numRef>
              <c:f>Profit_Analysis!$G$23:$G$30</c:f>
              <c:numCache>
                <c:formatCode>_("$"* #,##0_);_("$"* \(#,##0\);_("$"* "-"??_);_(@_)</c:formatCode>
                <c:ptCount val="7"/>
                <c:pt idx="0">
                  <c:v>8754410</c:v>
                </c:pt>
                <c:pt idx="1">
                  <c:v>31568500</c:v>
                </c:pt>
                <c:pt idx="2">
                  <c:v>34606980</c:v>
                </c:pt>
                <c:pt idx="3">
                  <c:v>10224240</c:v>
                </c:pt>
                <c:pt idx="4">
                  <c:v>7577340</c:v>
                </c:pt>
                <c:pt idx="5">
                  <c:v>6453000</c:v>
                </c:pt>
                <c:pt idx="6">
                  <c:v>6402950</c:v>
                </c:pt>
              </c:numCache>
            </c:numRef>
          </c:val>
          <c:extLst>
            <c:ext xmlns:c16="http://schemas.microsoft.com/office/drawing/2014/chart" uri="{C3380CC4-5D6E-409C-BE32-E72D297353CC}">
              <c16:uniqueId val="{00000000-4603-4635-BBBB-E47407A675D4}"/>
            </c:ext>
          </c:extLst>
        </c:ser>
        <c:dLbls>
          <c:showLegendKey val="0"/>
          <c:showVal val="0"/>
          <c:showCatName val="0"/>
          <c:showSerName val="0"/>
          <c:showPercent val="0"/>
          <c:showBubbleSize val="0"/>
        </c:dLbls>
        <c:gapWidth val="219"/>
        <c:overlap val="-27"/>
        <c:axId val="95284287"/>
        <c:axId val="92213135"/>
      </c:barChart>
      <c:catAx>
        <c:axId val="952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92213135"/>
        <c:crosses val="autoZero"/>
        <c:auto val="1"/>
        <c:lblAlgn val="ctr"/>
        <c:lblOffset val="100"/>
        <c:noMultiLvlLbl val="0"/>
      </c:catAx>
      <c:valAx>
        <c:axId val="92213135"/>
        <c:scaling>
          <c:orientation val="minMax"/>
          <c:max val="35000000"/>
          <c:min val="5000000"/>
        </c:scaling>
        <c:delete val="0"/>
        <c:axPos val="l"/>
        <c:numFmt formatCode="[&gt;=1000000]&quot;$&quot;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284287"/>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(2)(AutoRecovered).xlsx]Profit_Analysis!Country_VS_profit</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solidFill>
                  <a:schemeClr val="tx1"/>
                </a:solidFill>
              </a:rPr>
              <a:t>What country generated the highest</a:t>
            </a:r>
            <a:r>
              <a:rPr lang="en-US" sz="1000" b="1" baseline="0">
                <a:solidFill>
                  <a:schemeClr val="tx1"/>
                </a:solidFill>
              </a:rPr>
              <a:t> profit?</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3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7957124502963"/>
          <c:y val="0.24226295476241422"/>
          <c:w val="0.68060359124441216"/>
          <c:h val="0.59441007975146543"/>
        </c:manualLayout>
      </c:layout>
      <c:barChart>
        <c:barDir val="bar"/>
        <c:grouping val="clustered"/>
        <c:varyColors val="0"/>
        <c:ser>
          <c:idx val="0"/>
          <c:order val="0"/>
          <c:tx>
            <c:strRef>
              <c:f>Profit_Analysis!$B$3</c:f>
              <c:strCache>
                <c:ptCount val="1"/>
                <c:pt idx="0">
                  <c:v>Total</c:v>
                </c:pt>
              </c:strCache>
            </c:strRef>
          </c:tx>
          <c:spPr>
            <a:solidFill>
              <a:srgbClr val="13434C"/>
            </a:solidFill>
            <a:ln>
              <a:noFill/>
            </a:ln>
            <a:effectLst/>
          </c:spPr>
          <c:invertIfNegative val="0"/>
          <c:cat>
            <c:strRef>
              <c:f>Profit_Analysis!$A$4</c:f>
              <c:strCache>
                <c:ptCount val="1"/>
                <c:pt idx="0">
                  <c:v>Nigeria</c:v>
                </c:pt>
              </c:strCache>
            </c:strRef>
          </c:cat>
          <c:val>
            <c:numRef>
              <c:f>Profit_Analysis!$B$4</c:f>
              <c:numCache>
                <c:formatCode>_("$"* #,##0_);_("$"* \(#,##0\);_("$"* "-"??_);_(@_)</c:formatCode>
                <c:ptCount val="1"/>
                <c:pt idx="0">
                  <c:v>14837960</c:v>
                </c:pt>
              </c:numCache>
            </c:numRef>
          </c:val>
          <c:extLst>
            <c:ext xmlns:c16="http://schemas.microsoft.com/office/drawing/2014/chart" uri="{C3380CC4-5D6E-409C-BE32-E72D297353CC}">
              <c16:uniqueId val="{00000000-8150-4792-B7F8-93DB61300D2D}"/>
            </c:ext>
          </c:extLst>
        </c:ser>
        <c:dLbls>
          <c:showLegendKey val="0"/>
          <c:showVal val="0"/>
          <c:showCatName val="0"/>
          <c:showSerName val="0"/>
          <c:showPercent val="0"/>
          <c:showBubbleSize val="0"/>
        </c:dLbls>
        <c:gapWidth val="182"/>
        <c:axId val="172466239"/>
        <c:axId val="92196815"/>
      </c:barChart>
      <c:catAx>
        <c:axId val="17246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96815"/>
        <c:crosses val="autoZero"/>
        <c:auto val="1"/>
        <c:lblAlgn val="ctr"/>
        <c:lblOffset val="100"/>
        <c:noMultiLvlLbl val="0"/>
      </c:catAx>
      <c:valAx>
        <c:axId val="92196815"/>
        <c:scaling>
          <c:orientation val="minMax"/>
        </c:scaling>
        <c:delete val="0"/>
        <c:axPos val="b"/>
        <c:numFmt formatCode="[&gt;=1000000]&quot;$&quot;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6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International_Breweries!A1"/><Relationship Id="rId2" Type="http://schemas.openxmlformats.org/officeDocument/2006/relationships/hyperlink" Target="#Instruction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ome Page'!A1"/><Relationship Id="rId2" Type="http://schemas.openxmlformats.org/officeDocument/2006/relationships/hyperlink" Target="#International_Breweries!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hyperlink" Target="#'Home Page'!A1"/><Relationship Id="rId1" Type="http://schemas.openxmlformats.org/officeDocument/2006/relationships/hyperlink" Target="#Instructions!A1"/></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11.xml"/><Relationship Id="rId21" Type="http://schemas.openxmlformats.org/officeDocument/2006/relationships/image" Target="../media/image15.png"/><Relationship Id="rId7" Type="http://schemas.openxmlformats.org/officeDocument/2006/relationships/chart" Target="../charts/chart15.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10.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5.png"/><Relationship Id="rId5" Type="http://schemas.openxmlformats.org/officeDocument/2006/relationships/chart" Target="../charts/chart13.xml"/><Relationship Id="rId15" Type="http://schemas.openxmlformats.org/officeDocument/2006/relationships/image" Target="../media/image9.svg"/><Relationship Id="rId10" Type="http://schemas.openxmlformats.org/officeDocument/2006/relationships/image" Target="../media/image4.svg"/><Relationship Id="rId19" Type="http://schemas.openxmlformats.org/officeDocument/2006/relationships/image" Target="../media/image13.svg"/><Relationship Id="rId4" Type="http://schemas.openxmlformats.org/officeDocument/2006/relationships/chart" Target="../charts/chart12.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7</xdr:col>
      <xdr:colOff>147637</xdr:colOff>
      <xdr:row>0</xdr:row>
      <xdr:rowOff>0</xdr:rowOff>
    </xdr:from>
    <xdr:to>
      <xdr:col>13</xdr:col>
      <xdr:colOff>566737</xdr:colOff>
      <xdr:row>24</xdr:row>
      <xdr:rowOff>57150</xdr:rowOff>
    </xdr:to>
    <xdr:grpSp>
      <xdr:nvGrpSpPr>
        <xdr:cNvPr id="7" name="Group 6">
          <a:extLst>
            <a:ext uri="{FF2B5EF4-FFF2-40B4-BE49-F238E27FC236}">
              <a16:creationId xmlns:a16="http://schemas.microsoft.com/office/drawing/2014/main" id="{0BE2CCFE-C3CF-8F9D-D582-690DF2696F7D}"/>
            </a:ext>
          </a:extLst>
        </xdr:cNvPr>
        <xdr:cNvGrpSpPr/>
      </xdr:nvGrpSpPr>
      <xdr:grpSpPr>
        <a:xfrm>
          <a:off x="4414837" y="0"/>
          <a:ext cx="4076700" cy="3867150"/>
          <a:chOff x="4414837" y="0"/>
          <a:chExt cx="4076700" cy="3943350"/>
        </a:xfrm>
      </xdr:grpSpPr>
      <xdr:pic>
        <xdr:nvPicPr>
          <xdr:cNvPr id="3" name="Picture 2">
            <a:extLst>
              <a:ext uri="{FF2B5EF4-FFF2-40B4-BE49-F238E27FC236}">
                <a16:creationId xmlns:a16="http://schemas.microsoft.com/office/drawing/2014/main" id="{74E76CBD-1C0F-65DB-33BF-BE28F333E8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43437" y="0"/>
            <a:ext cx="3619500" cy="2143125"/>
          </a:xfrm>
          <a:prstGeom prst="rect">
            <a:avLst/>
          </a:prstGeom>
        </xdr:spPr>
      </xdr:pic>
      <xdr:sp macro="" textlink="">
        <xdr:nvSpPr>
          <xdr:cNvPr id="4" name="TextBox 3">
            <a:extLst>
              <a:ext uri="{FF2B5EF4-FFF2-40B4-BE49-F238E27FC236}">
                <a16:creationId xmlns:a16="http://schemas.microsoft.com/office/drawing/2014/main" id="{D3979E76-27BA-8DAC-E4FA-551BE7CE236C}"/>
              </a:ext>
            </a:extLst>
          </xdr:cNvPr>
          <xdr:cNvSpPr txBox="1"/>
        </xdr:nvSpPr>
        <xdr:spPr>
          <a:xfrm>
            <a:off x="4919662" y="1476375"/>
            <a:ext cx="3067050"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0">
                <a:solidFill>
                  <a:srgbClr val="174C54"/>
                </a:solidFill>
                <a:latin typeface="Arial Black" panose="020B0A04020102020204" pitchFamily="34" charset="0"/>
              </a:rPr>
              <a:t>Data</a:t>
            </a:r>
            <a:r>
              <a:rPr lang="en-US" sz="3000" b="0" baseline="0">
                <a:solidFill>
                  <a:srgbClr val="174C54"/>
                </a:solidFill>
                <a:latin typeface="Arial Black" panose="020B0A04020102020204" pitchFamily="34" charset="0"/>
              </a:rPr>
              <a:t> School</a:t>
            </a:r>
            <a:endParaRPr lang="en-US" sz="3000" b="0">
              <a:solidFill>
                <a:srgbClr val="174C54"/>
              </a:solidFill>
              <a:latin typeface="Arial Black" panose="020B0A04020102020204" pitchFamily="34" charset="0"/>
            </a:endParaRPr>
          </a:p>
        </xdr:txBody>
      </xdr:sp>
      <xdr:sp macro="" textlink="">
        <xdr:nvSpPr>
          <xdr:cNvPr id="5" name="TextBox 4">
            <a:hlinkClick xmlns:r="http://schemas.openxmlformats.org/officeDocument/2006/relationships" r:id="rId2"/>
            <a:extLst>
              <a:ext uri="{FF2B5EF4-FFF2-40B4-BE49-F238E27FC236}">
                <a16:creationId xmlns:a16="http://schemas.microsoft.com/office/drawing/2014/main" id="{53498765-867E-B9A0-0A37-BBBE655C6B3C}"/>
              </a:ext>
            </a:extLst>
          </xdr:cNvPr>
          <xdr:cNvSpPr txBox="1"/>
        </xdr:nvSpPr>
        <xdr:spPr>
          <a:xfrm>
            <a:off x="4414837" y="2686050"/>
            <a:ext cx="40767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FF0000"/>
                </a:solidFill>
                <a:latin typeface="Aharoni" panose="02010803020104030203" pitchFamily="2" charset="-79"/>
                <a:cs typeface="Aharoni" panose="02010803020104030203" pitchFamily="2" charset="-79"/>
              </a:rPr>
              <a:t>Instructions</a:t>
            </a:r>
          </a:p>
        </xdr:txBody>
      </xdr:sp>
      <xdr:sp macro="" textlink="">
        <xdr:nvSpPr>
          <xdr:cNvPr id="6" name="TextBox 5">
            <a:hlinkClick xmlns:r="http://schemas.openxmlformats.org/officeDocument/2006/relationships" r:id="rId3"/>
            <a:extLst>
              <a:ext uri="{FF2B5EF4-FFF2-40B4-BE49-F238E27FC236}">
                <a16:creationId xmlns:a16="http://schemas.microsoft.com/office/drawing/2014/main" id="{E15BD7EA-2216-4745-AEAB-3C77BB6F06F0}"/>
              </a:ext>
            </a:extLst>
          </xdr:cNvPr>
          <xdr:cNvSpPr txBox="1"/>
        </xdr:nvSpPr>
        <xdr:spPr>
          <a:xfrm>
            <a:off x="4414837" y="3562350"/>
            <a:ext cx="40767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740">
                <a:solidFill>
                  <a:srgbClr val="FF0000"/>
                </a:solidFill>
                <a:latin typeface="Aharoni" panose="02010803020104030203" pitchFamily="2" charset="-79"/>
                <a:ea typeface="+mn-ea"/>
                <a:cs typeface="Aharoni" panose="02010803020104030203" pitchFamily="2" charset="-79"/>
              </a:rPr>
              <a:t>International Breweries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476251</xdr:colOff>
      <xdr:row>1</xdr:row>
      <xdr:rowOff>2</xdr:rowOff>
    </xdr:from>
    <xdr:to>
      <xdr:col>16</xdr:col>
      <xdr:colOff>0</xdr:colOff>
      <xdr:row>94</xdr:row>
      <xdr:rowOff>0</xdr:rowOff>
    </xdr:to>
    <xdr:grpSp>
      <xdr:nvGrpSpPr>
        <xdr:cNvPr id="13" name="Group 12">
          <a:extLst>
            <a:ext uri="{FF2B5EF4-FFF2-40B4-BE49-F238E27FC236}">
              <a16:creationId xmlns:a16="http://schemas.microsoft.com/office/drawing/2014/main" id="{4D2E4E55-FE98-BF75-B4E4-157BE746E6FC}"/>
            </a:ext>
          </a:extLst>
        </xdr:cNvPr>
        <xdr:cNvGrpSpPr/>
      </xdr:nvGrpSpPr>
      <xdr:grpSpPr>
        <a:xfrm>
          <a:off x="476251" y="164858"/>
          <a:ext cx="10917114" cy="15533075"/>
          <a:chOff x="476251" y="161927"/>
          <a:chExt cx="10677524" cy="15278098"/>
        </a:xfrm>
      </xdr:grpSpPr>
      <xdr:grpSp>
        <xdr:nvGrpSpPr>
          <xdr:cNvPr id="5" name="Group 4">
            <a:extLst>
              <a:ext uri="{FF2B5EF4-FFF2-40B4-BE49-F238E27FC236}">
                <a16:creationId xmlns:a16="http://schemas.microsoft.com/office/drawing/2014/main" id="{13BD8E50-0F8A-DCAA-06D5-D2CBDF411213}"/>
              </a:ext>
            </a:extLst>
          </xdr:cNvPr>
          <xdr:cNvGrpSpPr/>
        </xdr:nvGrpSpPr>
        <xdr:grpSpPr>
          <a:xfrm>
            <a:off x="476251" y="161927"/>
            <a:ext cx="9820274" cy="1228724"/>
            <a:chOff x="476251" y="161926"/>
            <a:chExt cx="8420099" cy="1304924"/>
          </a:xfrm>
        </xdr:grpSpPr>
        <xdr:sp macro="" textlink="">
          <xdr:nvSpPr>
            <xdr:cNvPr id="2" name="TextBox 1">
              <a:extLst>
                <a:ext uri="{FF2B5EF4-FFF2-40B4-BE49-F238E27FC236}">
                  <a16:creationId xmlns:a16="http://schemas.microsoft.com/office/drawing/2014/main" id="{32FBA5E9-DE0B-F573-1F6F-F148A969116E}"/>
                </a:ext>
              </a:extLst>
            </xdr:cNvPr>
            <xdr:cNvSpPr txBox="1"/>
          </xdr:nvSpPr>
          <xdr:spPr>
            <a:xfrm>
              <a:off x="2143125" y="476250"/>
              <a:ext cx="6753225" cy="466725"/>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Arial Black" panose="020B0A04020102020204" pitchFamily="34" charset="0"/>
                </a:rPr>
                <a:t>Microsoft</a:t>
              </a:r>
              <a:r>
                <a:rPr lang="en-US" sz="2000" b="1" baseline="0">
                  <a:solidFill>
                    <a:schemeClr val="bg1"/>
                  </a:solidFill>
                  <a:latin typeface="Arial Black" panose="020B0A04020102020204" pitchFamily="34" charset="0"/>
                </a:rPr>
                <a:t> Excel </a:t>
              </a:r>
              <a:r>
                <a:rPr lang="en-US" sz="2000" b="1">
                  <a:solidFill>
                    <a:schemeClr val="bg1"/>
                  </a:solidFill>
                  <a:latin typeface="Arial Black" panose="020B0A04020102020204" pitchFamily="34" charset="0"/>
                </a:rPr>
                <a:t>Capstone</a:t>
              </a:r>
              <a:r>
                <a:rPr lang="en-US" sz="2000" b="1" baseline="0">
                  <a:solidFill>
                    <a:schemeClr val="bg1"/>
                  </a:solidFill>
                  <a:latin typeface="Arial Black" panose="020B0A04020102020204" pitchFamily="34" charset="0"/>
                </a:rPr>
                <a:t> Project for Cohort 5</a:t>
              </a:r>
              <a:endParaRPr lang="en-US" sz="2000" b="1">
                <a:solidFill>
                  <a:schemeClr val="bg1"/>
                </a:solidFill>
                <a:latin typeface="Arial Black" panose="020B0A04020102020204" pitchFamily="34" charset="0"/>
              </a:endParaRPr>
            </a:p>
          </xdr:txBody>
        </xdr:sp>
        <xdr:pic>
          <xdr:nvPicPr>
            <xdr:cNvPr id="4" name="Picture 3">
              <a:extLst>
                <a:ext uri="{FF2B5EF4-FFF2-40B4-BE49-F238E27FC236}">
                  <a16:creationId xmlns:a16="http://schemas.microsoft.com/office/drawing/2014/main" id="{AE8DC80D-07CA-2EE5-AF1B-F954266C6D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1" y="161926"/>
              <a:ext cx="1304924" cy="1304924"/>
            </a:xfrm>
            <a:prstGeom prst="rect">
              <a:avLst/>
            </a:prstGeom>
          </xdr:spPr>
        </xdr:pic>
      </xdr:grpSp>
      <xdr:sp macro="" textlink="">
        <xdr:nvSpPr>
          <xdr:cNvPr id="12" name="TextBox 11">
            <a:extLst>
              <a:ext uri="{FF2B5EF4-FFF2-40B4-BE49-F238E27FC236}">
                <a16:creationId xmlns:a16="http://schemas.microsoft.com/office/drawing/2014/main" id="{E92B295C-882A-6D4C-C649-0C1069021F9B}"/>
              </a:ext>
            </a:extLst>
          </xdr:cNvPr>
          <xdr:cNvSpPr txBox="1"/>
        </xdr:nvSpPr>
        <xdr:spPr>
          <a:xfrm>
            <a:off x="1238251" y="1743076"/>
            <a:ext cx="9915524" cy="13696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solidFill>
                  <a:srgbClr val="FF0000"/>
                </a:solidFill>
                <a:effectLst/>
                <a:latin typeface="+mn-lt"/>
                <a:ea typeface="+mn-ea"/>
                <a:cs typeface="+mn-cs"/>
              </a:rPr>
              <a:t>The analysis hopes to aid decision making in order to maximize profit and reduce loss to the lowest minimum.</a:t>
            </a:r>
          </a:p>
          <a:p>
            <a:endParaRPr lang="en-US" sz="1500">
              <a:solidFill>
                <a:schemeClr val="tx1">
                  <a:lumMod val="95000"/>
                  <a:lumOff val="5000"/>
                </a:schemeClr>
              </a:solidFill>
            </a:endParaRPr>
          </a:p>
          <a:p>
            <a:r>
              <a:rPr lang="en-US" sz="1500" b="1">
                <a:solidFill>
                  <a:schemeClr val="tx1">
                    <a:lumMod val="95000"/>
                    <a:lumOff val="5000"/>
                  </a:schemeClr>
                </a:solidFill>
              </a:rPr>
              <a:t>SECTION A:</a:t>
            </a:r>
            <a:r>
              <a:rPr lang="en-US" sz="1500" b="1" baseline="0">
                <a:solidFill>
                  <a:schemeClr val="tx1">
                    <a:lumMod val="95000"/>
                    <a:lumOff val="5000"/>
                  </a:schemeClr>
                </a:solidFill>
              </a:rPr>
              <a:t> PROFIT ANALYSIS</a:t>
            </a:r>
          </a:p>
          <a:p>
            <a:endParaRPr lang="en-US" sz="1500">
              <a:solidFill>
                <a:schemeClr val="tx1">
                  <a:lumMod val="95000"/>
                  <a:lumOff val="5000"/>
                </a:schemeClr>
              </a:solidFill>
            </a:endParaRPr>
          </a:p>
          <a:p>
            <a:r>
              <a:rPr lang="en-US" sz="1500">
                <a:solidFill>
                  <a:schemeClr val="tx1">
                    <a:lumMod val="95000"/>
                    <a:lumOff val="5000"/>
                  </a:schemeClr>
                </a:solidFill>
              </a:rPr>
              <a:t>1. Within the space of the last three years, what was the profit worth of the breweries, highligting</a:t>
            </a:r>
            <a:r>
              <a:rPr lang="en-US" sz="1500" baseline="0">
                <a:solidFill>
                  <a:schemeClr val="tx1">
                    <a:lumMod val="95000"/>
                    <a:lumOff val="5000"/>
                  </a:schemeClr>
                </a:solidFill>
              </a:rPr>
              <a:t> the profit generated from </a:t>
            </a:r>
            <a:r>
              <a:rPr lang="en-US" sz="1500">
                <a:solidFill>
                  <a:schemeClr val="tx1">
                    <a:lumMod val="95000"/>
                    <a:lumOff val="5000"/>
                  </a:schemeClr>
                </a:solidFill>
              </a:rPr>
              <a:t>the anglophone and francophone territories? </a:t>
            </a:r>
          </a:p>
          <a:p>
            <a:endParaRPr lang="en-US" sz="1500">
              <a:solidFill>
                <a:schemeClr val="tx1">
                  <a:lumMod val="95000"/>
                  <a:lumOff val="5000"/>
                </a:schemeClr>
              </a:solidFill>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rPr>
              <a:t>2.</a:t>
            </a:r>
            <a:r>
              <a:rPr lang="en-US" sz="1500" baseline="0">
                <a:solidFill>
                  <a:schemeClr val="tx1">
                    <a:lumMod val="95000"/>
                    <a:lumOff val="5000"/>
                  </a:schemeClr>
                </a:solidFill>
              </a:rPr>
              <a:t> </a:t>
            </a:r>
            <a:r>
              <a:rPr lang="en-US" sz="1500">
                <a:solidFill>
                  <a:schemeClr val="tx1">
                    <a:lumMod val="95000"/>
                    <a:lumOff val="5000"/>
                  </a:schemeClr>
                </a:solidFill>
                <a:effectLst/>
                <a:latin typeface="+mn-lt"/>
                <a:ea typeface="+mn-ea"/>
                <a:cs typeface="+mn-cs"/>
              </a:rPr>
              <a:t>Compare the total profit between these two territories (the anglophone and francophone), in order for the territory manager, Mr. Fish</a:t>
            </a:r>
            <a:r>
              <a:rPr lang="en-US" sz="1500" baseline="0">
                <a:solidFill>
                  <a:schemeClr val="tx1">
                    <a:lumMod val="95000"/>
                    <a:lumOff val="5000"/>
                  </a:schemeClr>
                </a:solidFill>
                <a:effectLst/>
                <a:latin typeface="+mn-lt"/>
                <a:ea typeface="+mn-ea"/>
                <a:cs typeface="+mn-cs"/>
              </a:rPr>
              <a:t> to</a:t>
            </a:r>
            <a:r>
              <a:rPr lang="en-US" sz="1500">
                <a:solidFill>
                  <a:schemeClr val="tx1">
                    <a:lumMod val="95000"/>
                    <a:lumOff val="5000"/>
                  </a:schemeClr>
                </a:solidFill>
                <a:effectLst/>
                <a:latin typeface="+mn-lt"/>
                <a:ea typeface="+mn-ea"/>
                <a:cs typeface="+mn-cs"/>
              </a:rPr>
              <a:t> make strategic decisions that will aid profit maximization in 2020.</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a:t>
            </a:r>
            <a:r>
              <a:rPr lang="en-US" sz="1500" baseline="0">
                <a:solidFill>
                  <a:schemeClr val="tx1">
                    <a:lumMod val="95000"/>
                    <a:lumOff val="5000"/>
                  </a:schemeClr>
                </a:solidFill>
                <a:effectLst/>
                <a:latin typeface="+mn-lt"/>
                <a:ea typeface="+mn-ea"/>
                <a:cs typeface="+mn-cs"/>
              </a:rPr>
              <a:t> Highlight the c</a:t>
            </a:r>
            <a:r>
              <a:rPr lang="en-US" sz="1500">
                <a:solidFill>
                  <a:schemeClr val="tx1">
                    <a:lumMod val="95000"/>
                    <a:lumOff val="5000"/>
                  </a:schemeClr>
                </a:solidFill>
                <a:effectLst/>
                <a:latin typeface="+mn-lt"/>
                <a:ea typeface="+mn-ea"/>
                <a:cs typeface="+mn-cs"/>
              </a:rPr>
              <a:t>ountry that generated the highest profit in 2019.</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4. Find the year with the highest Profit.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5.</a:t>
            </a:r>
            <a:r>
              <a:rPr lang="en-US" sz="1500" baseline="0">
                <a:solidFill>
                  <a:schemeClr val="tx1">
                    <a:lumMod val="95000"/>
                    <a:lumOff val="5000"/>
                  </a:schemeClr>
                </a:solidFill>
                <a:effectLst/>
                <a:latin typeface="+mn-lt"/>
                <a:ea typeface="+mn-ea"/>
                <a:cs typeface="+mn-cs"/>
              </a:rPr>
              <a:t> </a:t>
            </a:r>
            <a:r>
              <a:rPr lang="en-US" sz="1500">
                <a:solidFill>
                  <a:schemeClr val="tx1">
                    <a:lumMod val="95000"/>
                    <a:lumOff val="5000"/>
                  </a:schemeClr>
                </a:solidFill>
                <a:effectLst/>
                <a:latin typeface="+mn-lt"/>
                <a:ea typeface="+mn-ea"/>
                <a:cs typeface="+mn-cs"/>
              </a:rPr>
              <a:t>Which months in the three years were the least Profit generated?</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6. What was the minimum profit in the year 2018</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7. Compare the profit for each of the month in 2019.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8. Which particular brand generated the highest profit in Senegal?</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b="1">
                <a:solidFill>
                  <a:schemeClr val="tx1">
                    <a:lumMod val="95000"/>
                    <a:lumOff val="5000"/>
                  </a:schemeClr>
                </a:solidFill>
                <a:effectLst/>
                <a:latin typeface="+mn-lt"/>
                <a:ea typeface="+mn-ea"/>
                <a:cs typeface="+mn-cs"/>
              </a:rPr>
              <a:t>SECTION B:</a:t>
            </a:r>
            <a:r>
              <a:rPr lang="en-US" sz="1500" b="1" baseline="0">
                <a:solidFill>
                  <a:schemeClr val="tx1">
                    <a:lumMod val="95000"/>
                    <a:lumOff val="5000"/>
                  </a:schemeClr>
                </a:solidFill>
                <a:effectLst/>
                <a:latin typeface="+mn-lt"/>
                <a:ea typeface="+mn-ea"/>
                <a:cs typeface="+mn-cs"/>
              </a:rPr>
              <a:t> BRAND ANALYSIS</a:t>
            </a:r>
            <a:endParaRPr lang="en-US" sz="1500" b="1">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1. Within the last two years, the brand manager wants to know the top three brands consumed in the francophone countries.</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2. Find out the top two choices of customer brands in Ghana.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 Find out the details of beers consumed in the past three years in the most oil-rich country in West Africa.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4.  Favorite malt brand in Anglophone region between 2018 and 2019.</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5. Which brands sold the highest in 2019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6. Favorite brands in South_ South region in Nigeria.</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7. Beer consumption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8. Level of consumption of Budweiser in the regions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9. Level of consumption of Budweiser in the regions in Nigeria in 2019 (Decision on Promo)</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b="1">
                <a:solidFill>
                  <a:schemeClr val="tx1">
                    <a:lumMod val="95000"/>
                    <a:lumOff val="5000"/>
                  </a:schemeClr>
                </a:solidFill>
                <a:effectLst/>
                <a:latin typeface="+mn-lt"/>
                <a:ea typeface="+mn-ea"/>
                <a:cs typeface="+mn-cs"/>
              </a:rPr>
              <a:t>SECTION C:</a:t>
            </a:r>
            <a:r>
              <a:rPr lang="en-US" sz="1500" b="1" baseline="0">
                <a:solidFill>
                  <a:schemeClr val="tx1">
                    <a:lumMod val="95000"/>
                    <a:lumOff val="5000"/>
                  </a:schemeClr>
                </a:solidFill>
                <a:effectLst/>
                <a:latin typeface="+mn-lt"/>
                <a:ea typeface="+mn-ea"/>
                <a:cs typeface="+mn-cs"/>
              </a:rPr>
              <a:t> COUNTRIES ANALYSIS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baseline="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1.Country with the highest consumption of beer.</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2.Highest sales personnel of Budweiser in Senegal.</a:t>
            </a:r>
            <a:br>
              <a:rPr lang="en-US" sz="1500">
                <a:solidFill>
                  <a:schemeClr val="tx1">
                    <a:lumMod val="95000"/>
                    <a:lumOff val="5000"/>
                  </a:schemeClr>
                </a:solidFill>
                <a:effectLst/>
                <a:latin typeface="+mn-lt"/>
                <a:ea typeface="+mn-ea"/>
                <a:cs typeface="+mn-cs"/>
              </a:rPr>
            </a:b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 Country with the highest profit in the fourth quarter of 2019.</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xdr:txBody>
      </xdr:sp>
    </xdr:grpSp>
    <xdr:clientData/>
  </xdr:twoCellAnchor>
  <xdr:twoCellAnchor>
    <xdr:from>
      <xdr:col>14</xdr:col>
      <xdr:colOff>180976</xdr:colOff>
      <xdr:row>26</xdr:row>
      <xdr:rowOff>114302</xdr:rowOff>
    </xdr:from>
    <xdr:to>
      <xdr:col>17</xdr:col>
      <xdr:colOff>590551</xdr:colOff>
      <xdr:row>29</xdr:row>
      <xdr:rowOff>9527</xdr:rowOff>
    </xdr:to>
    <xdr:sp macro="" textlink="">
      <xdr:nvSpPr>
        <xdr:cNvPr id="9" name="TextBox 8">
          <a:hlinkClick xmlns:r="http://schemas.openxmlformats.org/officeDocument/2006/relationships" r:id="rId2"/>
          <a:extLst>
            <a:ext uri="{FF2B5EF4-FFF2-40B4-BE49-F238E27FC236}">
              <a16:creationId xmlns:a16="http://schemas.microsoft.com/office/drawing/2014/main" id="{2EBE2094-414F-45CF-8EE3-86D4BCFA5501}"/>
            </a:ext>
          </a:extLst>
        </xdr:cNvPr>
        <xdr:cNvSpPr txBox="1"/>
      </xdr:nvSpPr>
      <xdr:spPr>
        <a:xfrm>
          <a:off x="10191751" y="4543427"/>
          <a:ext cx="2238375"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40">
              <a:solidFill>
                <a:srgbClr val="FF0000"/>
              </a:solidFill>
              <a:latin typeface="Aharoni" panose="02010803020104030203" pitchFamily="2" charset="-79"/>
              <a:ea typeface="+mn-ea"/>
              <a:cs typeface="Aharoni" panose="02010803020104030203" pitchFamily="2" charset="-79"/>
            </a:rPr>
            <a:t>International Breweries</a:t>
          </a:r>
        </a:p>
      </xdr:txBody>
    </xdr:sp>
    <xdr:clientData/>
  </xdr:twoCellAnchor>
  <xdr:twoCellAnchor>
    <xdr:from>
      <xdr:col>10</xdr:col>
      <xdr:colOff>219075</xdr:colOff>
      <xdr:row>26</xdr:row>
      <xdr:rowOff>114302</xdr:rowOff>
    </xdr:from>
    <xdr:to>
      <xdr:col>13</xdr:col>
      <xdr:colOff>600076</xdr:colOff>
      <xdr:row>29</xdr:row>
      <xdr:rowOff>9527</xdr:rowOff>
    </xdr:to>
    <xdr:sp macro="" textlink="">
      <xdr:nvSpPr>
        <xdr:cNvPr id="10" name="TextBox 9">
          <a:hlinkClick xmlns:r="http://schemas.openxmlformats.org/officeDocument/2006/relationships" r:id="rId3"/>
          <a:extLst>
            <a:ext uri="{FF2B5EF4-FFF2-40B4-BE49-F238E27FC236}">
              <a16:creationId xmlns:a16="http://schemas.microsoft.com/office/drawing/2014/main" id="{5E30CA7A-F5F0-4177-9304-CA39FBDFF856}"/>
            </a:ext>
          </a:extLst>
        </xdr:cNvPr>
        <xdr:cNvSpPr txBox="1"/>
      </xdr:nvSpPr>
      <xdr:spPr>
        <a:xfrm>
          <a:off x="7791450" y="4543427"/>
          <a:ext cx="2209801"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chemeClr val="accent6">
                  <a:lumMod val="75000"/>
                </a:schemeClr>
              </a:solidFill>
              <a:latin typeface="Aharoni" panose="02010803020104030203" pitchFamily="2" charset="-79"/>
              <a:cs typeface="Aharoni" panose="02010803020104030203" pitchFamily="2" charset="-79"/>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285750</xdr:colOff>
      <xdr:row>3</xdr:row>
      <xdr:rowOff>44450</xdr:rowOff>
    </xdr:from>
    <xdr:to>
      <xdr:col>25</xdr:col>
      <xdr:colOff>523875</xdr:colOff>
      <xdr:row>5</xdr:row>
      <xdr:rowOff>25400</xdr:rowOff>
    </xdr:to>
    <xdr:sp macro="" textlink="">
      <xdr:nvSpPr>
        <xdr:cNvPr id="9" name="TextBox 8">
          <a:hlinkClick xmlns:r="http://schemas.openxmlformats.org/officeDocument/2006/relationships" r:id="rId1"/>
          <a:extLst>
            <a:ext uri="{FF2B5EF4-FFF2-40B4-BE49-F238E27FC236}">
              <a16:creationId xmlns:a16="http://schemas.microsoft.com/office/drawing/2014/main" id="{5B253784-1A1F-40BD-93B8-2D9BE38AEA0D}"/>
            </a:ext>
          </a:extLst>
        </xdr:cNvPr>
        <xdr:cNvSpPr txBox="1"/>
      </xdr:nvSpPr>
      <xdr:spPr>
        <a:xfrm>
          <a:off x="19269075" y="644525"/>
          <a:ext cx="3267075"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rgbClr val="FF0000"/>
              </a:solidFill>
              <a:latin typeface="Aharoni" panose="02010803020104030203" pitchFamily="2" charset="-79"/>
              <a:cs typeface="Aharoni" panose="02010803020104030203" pitchFamily="2" charset="-79"/>
            </a:rPr>
            <a:t>Instructions</a:t>
          </a:r>
        </a:p>
      </xdr:txBody>
    </xdr:sp>
    <xdr:clientData/>
  </xdr:twoCellAnchor>
  <xdr:twoCellAnchor>
    <xdr:from>
      <xdr:col>22</xdr:col>
      <xdr:colOff>301625</xdr:colOff>
      <xdr:row>0</xdr:row>
      <xdr:rowOff>152400</xdr:rowOff>
    </xdr:from>
    <xdr:to>
      <xdr:col>24</xdr:col>
      <xdr:colOff>590550</xdr:colOff>
      <xdr:row>2</xdr:row>
      <xdr:rowOff>133350</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A9D339CB-51B1-414E-A236-A566A20FB7FD}"/>
            </a:ext>
          </a:extLst>
        </xdr:cNvPr>
        <xdr:cNvSpPr txBox="1"/>
      </xdr:nvSpPr>
      <xdr:spPr>
        <a:xfrm>
          <a:off x="19284950" y="152400"/>
          <a:ext cx="2308225"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chemeClr val="accent6">
                  <a:lumMod val="75000"/>
                </a:schemeClr>
              </a:solidFill>
              <a:latin typeface="Aharoni" panose="02010803020104030203" pitchFamily="2" charset="-79"/>
              <a:cs typeface="Aharoni" panose="02010803020104030203" pitchFamily="2" charset="-79"/>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325438</xdr:colOff>
      <xdr:row>0</xdr:row>
      <xdr:rowOff>160336</xdr:rowOff>
    </xdr:from>
    <xdr:to>
      <xdr:col>7</xdr:col>
      <xdr:colOff>463551</xdr:colOff>
      <xdr:row>13</xdr:row>
      <xdr:rowOff>107949</xdr:rowOff>
    </xdr:to>
    <xdr:graphicFrame macro="">
      <xdr:nvGraphicFramePr>
        <xdr:cNvPr id="2" name="Chart 1">
          <a:extLst>
            <a:ext uri="{FF2B5EF4-FFF2-40B4-BE49-F238E27FC236}">
              <a16:creationId xmlns:a16="http://schemas.microsoft.com/office/drawing/2014/main" id="{A57BC631-518A-0EAF-06F9-866DF5FE6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523875</xdr:colOff>
      <xdr:row>1</xdr:row>
      <xdr:rowOff>1589</xdr:rowOff>
    </xdr:from>
    <xdr:to>
      <xdr:col>12</xdr:col>
      <xdr:colOff>530225</xdr:colOff>
      <xdr:row>13</xdr:row>
      <xdr:rowOff>95251</xdr:rowOff>
    </xdr:to>
    <xdr:graphicFrame macro="">
      <xdr:nvGraphicFramePr>
        <xdr:cNvPr id="3" name="Chart 2">
          <a:extLst>
            <a:ext uri="{FF2B5EF4-FFF2-40B4-BE49-F238E27FC236}">
              <a16:creationId xmlns:a16="http://schemas.microsoft.com/office/drawing/2014/main" id="{50693F6C-DC5D-03EC-641F-ABBB4F314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256302</xdr:colOff>
      <xdr:row>1</xdr:row>
      <xdr:rowOff>6350</xdr:rowOff>
    </xdr:from>
    <xdr:to>
      <xdr:col>18</xdr:col>
      <xdr:colOff>456481</xdr:colOff>
      <xdr:row>12</xdr:row>
      <xdr:rowOff>49213</xdr:rowOff>
    </xdr:to>
    <xdr:graphicFrame macro="">
      <xdr:nvGraphicFramePr>
        <xdr:cNvPr id="4" name="Chart 3">
          <a:extLst>
            <a:ext uri="{FF2B5EF4-FFF2-40B4-BE49-F238E27FC236}">
              <a16:creationId xmlns:a16="http://schemas.microsoft.com/office/drawing/2014/main" id="{DF5F98EA-1E06-4549-B152-9B1A9F19B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580446</xdr:colOff>
      <xdr:row>12</xdr:row>
      <xdr:rowOff>141288</xdr:rowOff>
    </xdr:from>
    <xdr:to>
      <xdr:col>8</xdr:col>
      <xdr:colOff>122953</xdr:colOff>
      <xdr:row>24</xdr:row>
      <xdr:rowOff>139701</xdr:rowOff>
    </xdr:to>
    <xdr:graphicFrame macro="">
      <xdr:nvGraphicFramePr>
        <xdr:cNvPr id="5" name="Chart 4">
          <a:extLst>
            <a:ext uri="{FF2B5EF4-FFF2-40B4-BE49-F238E27FC236}">
              <a16:creationId xmlns:a16="http://schemas.microsoft.com/office/drawing/2014/main" id="{A423E3F3-03E4-4401-808B-B8A398C74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8</xdr:col>
      <xdr:colOff>180098</xdr:colOff>
      <xdr:row>12</xdr:row>
      <xdr:rowOff>130175</xdr:rowOff>
    </xdr:from>
    <xdr:to>
      <xdr:col>13</xdr:col>
      <xdr:colOff>199151</xdr:colOff>
      <xdr:row>24</xdr:row>
      <xdr:rowOff>139700</xdr:rowOff>
    </xdr:to>
    <xdr:graphicFrame macro="">
      <xdr:nvGraphicFramePr>
        <xdr:cNvPr id="6" name="Chart 5">
          <a:extLst>
            <a:ext uri="{FF2B5EF4-FFF2-40B4-BE49-F238E27FC236}">
              <a16:creationId xmlns:a16="http://schemas.microsoft.com/office/drawing/2014/main" id="{25ED08FE-9B1D-440B-A636-572A565EE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321237</xdr:colOff>
      <xdr:row>12</xdr:row>
      <xdr:rowOff>159467</xdr:rowOff>
    </xdr:from>
    <xdr:to>
      <xdr:col>18</xdr:col>
      <xdr:colOff>524592</xdr:colOff>
      <xdr:row>25</xdr:row>
      <xdr:rowOff>16592</xdr:rowOff>
    </xdr:to>
    <xdr:graphicFrame macro="">
      <xdr:nvGraphicFramePr>
        <xdr:cNvPr id="7" name="Chart 6">
          <a:extLst>
            <a:ext uri="{FF2B5EF4-FFF2-40B4-BE49-F238E27FC236}">
              <a16:creationId xmlns:a16="http://schemas.microsoft.com/office/drawing/2014/main" id="{06D07595-4422-412D-9789-C7CFFBDC2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161052</xdr:colOff>
      <xdr:row>25</xdr:row>
      <xdr:rowOff>34925</xdr:rowOff>
    </xdr:from>
    <xdr:to>
      <xdr:col>9</xdr:col>
      <xdr:colOff>570922</xdr:colOff>
      <xdr:row>39</xdr:row>
      <xdr:rowOff>30163</xdr:rowOff>
    </xdr:to>
    <xdr:graphicFrame macro="">
      <xdr:nvGraphicFramePr>
        <xdr:cNvPr id="8" name="Chart 7">
          <a:extLst>
            <a:ext uri="{FF2B5EF4-FFF2-40B4-BE49-F238E27FC236}">
              <a16:creationId xmlns:a16="http://schemas.microsoft.com/office/drawing/2014/main" id="{F5381DF1-D6EA-471E-9D6C-9EE2BBAB5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9</xdr:col>
      <xdr:colOff>607435</xdr:colOff>
      <xdr:row>25</xdr:row>
      <xdr:rowOff>22224</xdr:rowOff>
    </xdr:from>
    <xdr:to>
      <xdr:col>15</xdr:col>
      <xdr:colOff>130892</xdr:colOff>
      <xdr:row>38</xdr:row>
      <xdr:rowOff>150812</xdr:rowOff>
    </xdr:to>
    <xdr:graphicFrame macro="">
      <xdr:nvGraphicFramePr>
        <xdr:cNvPr id="9" name="Chart 8">
          <a:extLst>
            <a:ext uri="{FF2B5EF4-FFF2-40B4-BE49-F238E27FC236}">
              <a16:creationId xmlns:a16="http://schemas.microsoft.com/office/drawing/2014/main" id="{5231EF5F-D69C-436D-985B-D4CA77AB5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38100</xdr:colOff>
      <xdr:row>2</xdr:row>
      <xdr:rowOff>63499</xdr:rowOff>
    </xdr:from>
    <xdr:to>
      <xdr:col>3</xdr:col>
      <xdr:colOff>196850</xdr:colOff>
      <xdr:row>48</xdr:row>
      <xdr:rowOff>89122</xdr:rowOff>
    </xdr:to>
    <xdr:sp macro="" textlink="">
      <xdr:nvSpPr>
        <xdr:cNvPr id="2" name="Rectangle 1">
          <a:extLst>
            <a:ext uri="{FF2B5EF4-FFF2-40B4-BE49-F238E27FC236}">
              <a16:creationId xmlns:a16="http://schemas.microsoft.com/office/drawing/2014/main" id="{EB3FF865-DA6A-D913-D0BC-2AD4997384C0}"/>
            </a:ext>
          </a:extLst>
        </xdr:cNvPr>
        <xdr:cNvSpPr/>
      </xdr:nvSpPr>
      <xdr:spPr>
        <a:xfrm>
          <a:off x="650819" y="375429"/>
          <a:ext cx="1384189" cy="7200009"/>
        </a:xfrm>
        <a:prstGeom prst="rect">
          <a:avLst/>
        </a:prstGeom>
        <a:solidFill>
          <a:srgbClr val="1343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241154</xdr:colOff>
      <xdr:row>2</xdr:row>
      <xdr:rowOff>76200</xdr:rowOff>
    </xdr:from>
    <xdr:to>
      <xdr:col>16</xdr:col>
      <xdr:colOff>548723</xdr:colOff>
      <xdr:row>4</xdr:row>
      <xdr:rowOff>44450</xdr:rowOff>
    </xdr:to>
    <xdr:sp macro="" textlink="">
      <xdr:nvSpPr>
        <xdr:cNvPr id="3" name="Rectangle 2">
          <a:extLst>
            <a:ext uri="{FF2B5EF4-FFF2-40B4-BE49-F238E27FC236}">
              <a16:creationId xmlns:a16="http://schemas.microsoft.com/office/drawing/2014/main" id="{53275F2A-5408-4D35-FDB6-35AB448B3BBB}"/>
            </a:ext>
          </a:extLst>
        </xdr:cNvPr>
        <xdr:cNvSpPr/>
      </xdr:nvSpPr>
      <xdr:spPr>
        <a:xfrm>
          <a:off x="2073681" y="407504"/>
          <a:ext cx="8248520" cy="299555"/>
        </a:xfrm>
        <a:prstGeom prst="rect">
          <a:avLst/>
        </a:prstGeom>
        <a:solidFill>
          <a:schemeClr val="bg1"/>
        </a:solidFill>
        <a:ln>
          <a:solidFill>
            <a:srgbClr val="13434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238125</xdr:colOff>
      <xdr:row>4</xdr:row>
      <xdr:rowOff>105603</xdr:rowOff>
    </xdr:from>
    <xdr:to>
      <xdr:col>5</xdr:col>
      <xdr:colOff>362364</xdr:colOff>
      <xdr:row>8</xdr:row>
      <xdr:rowOff>31060</xdr:rowOff>
    </xdr:to>
    <xdr:sp macro="" textlink="">
      <xdr:nvSpPr>
        <xdr:cNvPr id="4" name="Rectangle: Rounded Corners 3">
          <a:extLst>
            <a:ext uri="{FF2B5EF4-FFF2-40B4-BE49-F238E27FC236}">
              <a16:creationId xmlns:a16="http://schemas.microsoft.com/office/drawing/2014/main" id="{1900CDCB-2996-58A6-FC47-EE5C0C87DFD1}"/>
            </a:ext>
          </a:extLst>
        </xdr:cNvPr>
        <xdr:cNvSpPr/>
      </xdr:nvSpPr>
      <xdr:spPr>
        <a:xfrm>
          <a:off x="2070652" y="768212"/>
          <a:ext cx="1345924" cy="588065"/>
        </a:xfrm>
        <a:prstGeom prst="roundRect">
          <a:avLst/>
        </a:prstGeom>
        <a:solidFill>
          <a:srgbClr val="13434C">
            <a:alpha val="22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396598</xdr:colOff>
      <xdr:row>4</xdr:row>
      <xdr:rowOff>102427</xdr:rowOff>
    </xdr:from>
    <xdr:to>
      <xdr:col>7</xdr:col>
      <xdr:colOff>486603</xdr:colOff>
      <xdr:row>8</xdr:row>
      <xdr:rowOff>27884</xdr:rowOff>
    </xdr:to>
    <xdr:sp macro="" textlink="">
      <xdr:nvSpPr>
        <xdr:cNvPr id="5" name="Rectangle: Rounded Corners 4">
          <a:extLst>
            <a:ext uri="{FF2B5EF4-FFF2-40B4-BE49-F238E27FC236}">
              <a16:creationId xmlns:a16="http://schemas.microsoft.com/office/drawing/2014/main" id="{111EC7D8-AC06-AAC4-13A7-FA95A5AC713D}"/>
            </a:ext>
          </a:extLst>
        </xdr:cNvPr>
        <xdr:cNvSpPr/>
      </xdr:nvSpPr>
      <xdr:spPr>
        <a:xfrm>
          <a:off x="3450810" y="765036"/>
          <a:ext cx="1311690" cy="588065"/>
        </a:xfrm>
        <a:prstGeom prst="roundRect">
          <a:avLst/>
        </a:prstGeom>
        <a:solidFill>
          <a:srgbClr val="13434C">
            <a:alpha val="22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513376</xdr:colOff>
      <xdr:row>4</xdr:row>
      <xdr:rowOff>105601</xdr:rowOff>
    </xdr:from>
    <xdr:to>
      <xdr:col>9</xdr:col>
      <xdr:colOff>559076</xdr:colOff>
      <xdr:row>8</xdr:row>
      <xdr:rowOff>28209</xdr:rowOff>
    </xdr:to>
    <xdr:sp macro="" textlink="">
      <xdr:nvSpPr>
        <xdr:cNvPr id="6" name="Rectangle: Rounded Corners 5">
          <a:extLst>
            <a:ext uri="{FF2B5EF4-FFF2-40B4-BE49-F238E27FC236}">
              <a16:creationId xmlns:a16="http://schemas.microsoft.com/office/drawing/2014/main" id="{7AA59CFC-C7FE-3525-1556-D53BF7DCAAD5}"/>
            </a:ext>
          </a:extLst>
        </xdr:cNvPr>
        <xdr:cNvSpPr/>
      </xdr:nvSpPr>
      <xdr:spPr>
        <a:xfrm>
          <a:off x="4789273" y="768210"/>
          <a:ext cx="1267385" cy="585216"/>
        </a:xfrm>
        <a:prstGeom prst="roundRect">
          <a:avLst/>
        </a:prstGeom>
        <a:solidFill>
          <a:srgbClr val="13434C">
            <a:alpha val="22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113886</xdr:colOff>
      <xdr:row>4</xdr:row>
      <xdr:rowOff>103532</xdr:rowOff>
    </xdr:from>
    <xdr:to>
      <xdr:col>14</xdr:col>
      <xdr:colOff>310598</xdr:colOff>
      <xdr:row>8</xdr:row>
      <xdr:rowOff>38564</xdr:rowOff>
    </xdr:to>
    <xdr:sp macro="" textlink="">
      <xdr:nvSpPr>
        <xdr:cNvPr id="7" name="Rectangle: Rounded Corners 6">
          <a:extLst>
            <a:ext uri="{FF2B5EF4-FFF2-40B4-BE49-F238E27FC236}">
              <a16:creationId xmlns:a16="http://schemas.microsoft.com/office/drawing/2014/main" id="{BB20894A-9F38-52B6-C389-7C015900A395}"/>
            </a:ext>
          </a:extLst>
        </xdr:cNvPr>
        <xdr:cNvSpPr/>
      </xdr:nvSpPr>
      <xdr:spPr>
        <a:xfrm>
          <a:off x="7443995" y="766141"/>
          <a:ext cx="1418396" cy="597640"/>
        </a:xfrm>
        <a:prstGeom prst="roundRect">
          <a:avLst/>
        </a:prstGeom>
        <a:solidFill>
          <a:srgbClr val="13434C">
            <a:alpha val="22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341657</xdr:colOff>
      <xdr:row>4</xdr:row>
      <xdr:rowOff>106707</xdr:rowOff>
    </xdr:from>
    <xdr:to>
      <xdr:col>16</xdr:col>
      <xdr:colOff>541765</xdr:colOff>
      <xdr:row>8</xdr:row>
      <xdr:rowOff>39491</xdr:rowOff>
    </xdr:to>
    <xdr:sp macro="" textlink="">
      <xdr:nvSpPr>
        <xdr:cNvPr id="8" name="Rectangle: Rounded Corners 7">
          <a:extLst>
            <a:ext uri="{FF2B5EF4-FFF2-40B4-BE49-F238E27FC236}">
              <a16:creationId xmlns:a16="http://schemas.microsoft.com/office/drawing/2014/main" id="{55A0C953-1184-5494-AF2B-FC8324DBEB61}"/>
            </a:ext>
          </a:extLst>
        </xdr:cNvPr>
        <xdr:cNvSpPr/>
      </xdr:nvSpPr>
      <xdr:spPr>
        <a:xfrm>
          <a:off x="8893450" y="769316"/>
          <a:ext cx="1421793" cy="595392"/>
        </a:xfrm>
        <a:prstGeom prst="roundRect">
          <a:avLst/>
        </a:prstGeom>
        <a:solidFill>
          <a:srgbClr val="13434C">
            <a:alpha val="22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236469</xdr:colOff>
      <xdr:row>40</xdr:row>
      <xdr:rowOff>150905</xdr:rowOff>
    </xdr:from>
    <xdr:to>
      <xdr:col>16</xdr:col>
      <xdr:colOff>544720</xdr:colOff>
      <xdr:row>48</xdr:row>
      <xdr:rowOff>93179</xdr:rowOff>
    </xdr:to>
    <xdr:sp macro="" textlink="">
      <xdr:nvSpPr>
        <xdr:cNvPr id="12" name="Rectangle: Rounded Corners 11">
          <a:extLst>
            <a:ext uri="{FF2B5EF4-FFF2-40B4-BE49-F238E27FC236}">
              <a16:creationId xmlns:a16="http://schemas.microsoft.com/office/drawing/2014/main" id="{9343A116-B3CA-F49F-56D8-8B4455FB81EA}"/>
            </a:ext>
          </a:extLst>
        </xdr:cNvPr>
        <xdr:cNvSpPr/>
      </xdr:nvSpPr>
      <xdr:spPr>
        <a:xfrm>
          <a:off x="2068996" y="6776992"/>
          <a:ext cx="8249202" cy="1267491"/>
        </a:xfrm>
        <a:prstGeom prst="roundRect">
          <a:avLst>
            <a:gd name="adj" fmla="val 0"/>
          </a:avLst>
        </a:prstGeom>
        <a:solidFill>
          <a:srgbClr val="1343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xdr:col>
      <xdr:colOff>78710</xdr:colOff>
      <xdr:row>14</xdr:row>
      <xdr:rowOff>130598</xdr:rowOff>
    </xdr:from>
    <xdr:ext cx="1323400" cy="1042416"/>
    <mc:AlternateContent xmlns:mc="http://schemas.openxmlformats.org/markup-compatibility/2006">
      <mc:Choice xmlns:a14="http://schemas.microsoft.com/office/drawing/2010/main" Requires="a14">
        <xdr:graphicFrame macro="">
          <xdr:nvGraphicFramePr>
            <xdr:cNvPr id="32" name="BRANDS 1">
              <a:extLst>
                <a:ext uri="{FF2B5EF4-FFF2-40B4-BE49-F238E27FC236}">
                  <a16:creationId xmlns:a16="http://schemas.microsoft.com/office/drawing/2014/main" id="{838441F1-9392-413A-BBDE-0AEE4BFBACC4}"/>
                </a:ext>
              </a:extLst>
            </xdr:cNvPr>
            <xdr:cNvGraphicFramePr/>
          </xdr:nvGraphicFramePr>
          <xdr:xfrm>
            <a:off x="0" y="0"/>
            <a:ext cx="0" cy="0"/>
          </xdr:xfrm>
          <a:graphic>
            <a:graphicData uri="http://schemas.microsoft.com/office/drawing/2010/slicer">
              <sle:slicer xmlns:sle="http://schemas.microsoft.com/office/drawing/2010/slicer" name="BRANDS 1"/>
            </a:graphicData>
          </a:graphic>
        </xdr:graphicFrame>
      </mc:Choice>
      <mc:Fallback>
        <xdr:sp macro="" textlink="">
          <xdr:nvSpPr>
            <xdr:cNvPr id="0" name=""/>
            <xdr:cNvSpPr>
              <a:spLocks noTextEdit="1"/>
            </xdr:cNvSpPr>
          </xdr:nvSpPr>
          <xdr:spPr>
            <a:xfrm>
              <a:off x="689552" y="2449728"/>
              <a:ext cx="1323400" cy="1042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76217</xdr:colOff>
      <xdr:row>21</xdr:row>
      <xdr:rowOff>45721</xdr:rowOff>
    </xdr:from>
    <xdr:ext cx="1325880" cy="1042416"/>
    <mc:AlternateContent xmlns:mc="http://schemas.openxmlformats.org/markup-compatibility/2006">
      <mc:Choice xmlns:a14="http://schemas.microsoft.com/office/drawing/2010/main" Requires="a14">
        <xdr:graphicFrame macro="">
          <xdr:nvGraphicFramePr>
            <xdr:cNvPr id="33" name="COUNTRIES 1">
              <a:extLst>
                <a:ext uri="{FF2B5EF4-FFF2-40B4-BE49-F238E27FC236}">
                  <a16:creationId xmlns:a16="http://schemas.microsoft.com/office/drawing/2014/main" id="{93891C26-8413-4D38-BE80-A19F41FA539E}"/>
                </a:ext>
              </a:extLst>
            </xdr:cNvPr>
            <xdr:cNvGraphicFramePr/>
          </xdr:nvGraphicFramePr>
          <xdr:xfrm>
            <a:off x="0" y="0"/>
            <a:ext cx="0" cy="0"/>
          </xdr:xfrm>
          <a:graphic>
            <a:graphicData uri="http://schemas.microsoft.com/office/drawing/2010/slicer">
              <sle:slicer xmlns:sle="http://schemas.microsoft.com/office/drawing/2010/slicer" name="COUNTRIES 1"/>
            </a:graphicData>
          </a:graphic>
        </xdr:graphicFrame>
      </mc:Choice>
      <mc:Fallback>
        <xdr:sp macro="" textlink="">
          <xdr:nvSpPr>
            <xdr:cNvPr id="0" name=""/>
            <xdr:cNvSpPr>
              <a:spLocks noTextEdit="1"/>
            </xdr:cNvSpPr>
          </xdr:nvSpPr>
          <xdr:spPr>
            <a:xfrm>
              <a:off x="687059" y="3527592"/>
              <a:ext cx="1325880" cy="1042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75775</xdr:colOff>
      <xdr:row>27</xdr:row>
      <xdr:rowOff>131371</xdr:rowOff>
    </xdr:from>
    <xdr:ext cx="1325880" cy="1224906"/>
    <mc:AlternateContent xmlns:mc="http://schemas.openxmlformats.org/markup-compatibility/2006">
      <mc:Choice xmlns:a14="http://schemas.microsoft.com/office/drawing/2010/main" Requires="a14">
        <xdr:graphicFrame macro="">
          <xdr:nvGraphicFramePr>
            <xdr:cNvPr id="35" name="MONTHS 1">
              <a:extLst>
                <a:ext uri="{FF2B5EF4-FFF2-40B4-BE49-F238E27FC236}">
                  <a16:creationId xmlns:a16="http://schemas.microsoft.com/office/drawing/2014/main" id="{2B78EBEF-38DA-4614-AFE3-89506B4A8EAC}"/>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686617" y="4603980"/>
              <a:ext cx="1325880" cy="1224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75536</xdr:colOff>
      <xdr:row>8</xdr:row>
      <xdr:rowOff>46308</xdr:rowOff>
    </xdr:from>
    <xdr:ext cx="1325880" cy="1043960"/>
    <mc:AlternateContent xmlns:mc="http://schemas.openxmlformats.org/markup-compatibility/2006">
      <mc:Choice xmlns:a14="http://schemas.microsoft.com/office/drawing/2010/main" Requires="a14">
        <xdr:graphicFrame macro="">
          <xdr:nvGraphicFramePr>
            <xdr:cNvPr id="36" name="YEARS 1">
              <a:extLst>
                <a:ext uri="{FF2B5EF4-FFF2-40B4-BE49-F238E27FC236}">
                  <a16:creationId xmlns:a16="http://schemas.microsoft.com/office/drawing/2014/main" id="{FAF99C27-2B12-4ED3-8A95-2F1C0512D771}"/>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686378" y="1374700"/>
              <a:ext cx="1325880" cy="104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74545</xdr:colOff>
      <xdr:row>35</xdr:row>
      <xdr:rowOff>65747</xdr:rowOff>
    </xdr:from>
    <xdr:ext cx="1325880" cy="852643"/>
    <mc:AlternateContent xmlns:mc="http://schemas.openxmlformats.org/markup-compatibility/2006">
      <mc:Choice xmlns:a14="http://schemas.microsoft.com/office/drawing/2010/main" Requires="a14">
        <xdr:graphicFrame macro="">
          <xdr:nvGraphicFramePr>
            <xdr:cNvPr id="37" name="TERRITORIES 1">
              <a:extLst>
                <a:ext uri="{FF2B5EF4-FFF2-40B4-BE49-F238E27FC236}">
                  <a16:creationId xmlns:a16="http://schemas.microsoft.com/office/drawing/2014/main" id="{A8AFD9B9-ED35-4B7A-AF65-3AC3D4BB2516}"/>
                </a:ext>
              </a:extLst>
            </xdr:cNvPr>
            <xdr:cNvGraphicFramePr/>
          </xdr:nvGraphicFramePr>
          <xdr:xfrm>
            <a:off x="0" y="0"/>
            <a:ext cx="0" cy="0"/>
          </xdr:xfrm>
          <a:graphic>
            <a:graphicData uri="http://schemas.microsoft.com/office/drawing/2010/slicer">
              <sle:slicer xmlns:sle="http://schemas.microsoft.com/office/drawing/2010/slicer" name="TERRITORIES 1"/>
            </a:graphicData>
          </a:graphic>
        </xdr:graphicFrame>
      </mc:Choice>
      <mc:Fallback>
        <xdr:sp macro="" textlink="">
          <xdr:nvSpPr>
            <xdr:cNvPr id="0" name=""/>
            <xdr:cNvSpPr>
              <a:spLocks noTextEdit="1"/>
            </xdr:cNvSpPr>
          </xdr:nvSpPr>
          <xdr:spPr>
            <a:xfrm>
              <a:off x="685387" y="5866748"/>
              <a:ext cx="1325880" cy="852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absolute">
    <xdr:from>
      <xdr:col>12</xdr:col>
      <xdr:colOff>310598</xdr:colOff>
      <xdr:row>8</xdr:row>
      <xdr:rowOff>86001</xdr:rowOff>
    </xdr:from>
    <xdr:to>
      <xdr:col>16</xdr:col>
      <xdr:colOff>540022</xdr:colOff>
      <xdr:row>19</xdr:row>
      <xdr:rowOff>20705</xdr:rowOff>
    </xdr:to>
    <xdr:graphicFrame macro="">
      <xdr:nvGraphicFramePr>
        <xdr:cNvPr id="39" name="Chart 38">
          <a:extLst>
            <a:ext uri="{FF2B5EF4-FFF2-40B4-BE49-F238E27FC236}">
              <a16:creationId xmlns:a16="http://schemas.microsoft.com/office/drawing/2014/main" id="{74B43549-5A4C-4B11-9EEE-83C7EC16A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416335</xdr:colOff>
      <xdr:row>19</xdr:row>
      <xdr:rowOff>58116</xdr:rowOff>
    </xdr:from>
    <xdr:to>
      <xdr:col>12</xdr:col>
      <xdr:colOff>44587</xdr:colOff>
      <xdr:row>30</xdr:row>
      <xdr:rowOff>58117</xdr:rowOff>
    </xdr:to>
    <xdr:graphicFrame macro="">
      <xdr:nvGraphicFramePr>
        <xdr:cNvPr id="41" name="Chart 40">
          <a:extLst>
            <a:ext uri="{FF2B5EF4-FFF2-40B4-BE49-F238E27FC236}">
              <a16:creationId xmlns:a16="http://schemas.microsoft.com/office/drawing/2014/main" id="{1D9C787E-5AF5-41C7-9A47-FA92B802B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247753</xdr:colOff>
      <xdr:row>30</xdr:row>
      <xdr:rowOff>111425</xdr:rowOff>
    </xdr:from>
    <xdr:to>
      <xdr:col>9</xdr:col>
      <xdr:colOff>134594</xdr:colOff>
      <xdr:row>40</xdr:row>
      <xdr:rowOff>111540</xdr:rowOff>
    </xdr:to>
    <xdr:graphicFrame macro="">
      <xdr:nvGraphicFramePr>
        <xdr:cNvPr id="42" name="Chart 41">
          <a:extLst>
            <a:ext uri="{FF2B5EF4-FFF2-40B4-BE49-F238E27FC236}">
              <a16:creationId xmlns:a16="http://schemas.microsoft.com/office/drawing/2014/main" id="{C2880C19-EF07-4223-AAF4-517F7D61E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188700</xdr:colOff>
      <xdr:row>30</xdr:row>
      <xdr:rowOff>113886</xdr:rowOff>
    </xdr:from>
    <xdr:to>
      <xdr:col>13</xdr:col>
      <xdr:colOff>387896</xdr:colOff>
      <xdr:row>40</xdr:row>
      <xdr:rowOff>113886</xdr:rowOff>
    </xdr:to>
    <xdr:graphicFrame macro="">
      <xdr:nvGraphicFramePr>
        <xdr:cNvPr id="44" name="Chart 43">
          <a:extLst>
            <a:ext uri="{FF2B5EF4-FFF2-40B4-BE49-F238E27FC236}">
              <a16:creationId xmlns:a16="http://schemas.microsoft.com/office/drawing/2014/main" id="{E0BF6A83-C845-43E1-A361-4603AE8B9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246134</xdr:colOff>
      <xdr:row>19</xdr:row>
      <xdr:rowOff>58943</xdr:rowOff>
    </xdr:from>
    <xdr:to>
      <xdr:col>7</xdr:col>
      <xdr:colOff>372719</xdr:colOff>
      <xdr:row>30</xdr:row>
      <xdr:rowOff>69360</xdr:rowOff>
    </xdr:to>
    <xdr:graphicFrame macro="">
      <xdr:nvGraphicFramePr>
        <xdr:cNvPr id="45" name="Chart 44">
          <a:extLst>
            <a:ext uri="{FF2B5EF4-FFF2-40B4-BE49-F238E27FC236}">
              <a16:creationId xmlns:a16="http://schemas.microsoft.com/office/drawing/2014/main" id="{584869B2-08FB-405F-B135-5EC0262CB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246134</xdr:colOff>
      <xdr:row>8</xdr:row>
      <xdr:rowOff>86001</xdr:rowOff>
    </xdr:from>
    <xdr:to>
      <xdr:col>8</xdr:col>
      <xdr:colOff>31060</xdr:colOff>
      <xdr:row>19</xdr:row>
      <xdr:rowOff>17532</xdr:rowOff>
    </xdr:to>
    <xdr:graphicFrame macro="">
      <xdr:nvGraphicFramePr>
        <xdr:cNvPr id="46" name="Chart 45">
          <a:extLst>
            <a:ext uri="{FF2B5EF4-FFF2-40B4-BE49-F238E27FC236}">
              <a16:creationId xmlns:a16="http://schemas.microsoft.com/office/drawing/2014/main" id="{496DC83D-6D08-479C-ABB8-A610B060C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75648</xdr:colOff>
      <xdr:row>8</xdr:row>
      <xdr:rowOff>82826</xdr:rowOff>
    </xdr:from>
    <xdr:to>
      <xdr:col>12</xdr:col>
      <xdr:colOff>283539</xdr:colOff>
      <xdr:row>19</xdr:row>
      <xdr:rowOff>17531</xdr:rowOff>
    </xdr:to>
    <xdr:graphicFrame macro="">
      <xdr:nvGraphicFramePr>
        <xdr:cNvPr id="47" name="Chart 46">
          <a:extLst>
            <a:ext uri="{FF2B5EF4-FFF2-40B4-BE49-F238E27FC236}">
              <a16:creationId xmlns:a16="http://schemas.microsoft.com/office/drawing/2014/main" id="{E59E0592-2D70-4AAE-847F-ECF4D5F5B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610839</xdr:colOff>
      <xdr:row>20</xdr:row>
      <xdr:rowOff>22018</xdr:rowOff>
    </xdr:from>
    <xdr:to>
      <xdr:col>16</xdr:col>
      <xdr:colOff>548722</xdr:colOff>
      <xdr:row>40</xdr:row>
      <xdr:rowOff>36000</xdr:rowOff>
    </xdr:to>
    <xdr:grpSp>
      <xdr:nvGrpSpPr>
        <xdr:cNvPr id="73" name="Group 72">
          <a:extLst>
            <a:ext uri="{FF2B5EF4-FFF2-40B4-BE49-F238E27FC236}">
              <a16:creationId xmlns:a16="http://schemas.microsoft.com/office/drawing/2014/main" id="{07E61CE9-7871-B46A-ACB6-7D9C87C6CBBF}"/>
            </a:ext>
          </a:extLst>
        </xdr:cNvPr>
        <xdr:cNvGrpSpPr/>
      </xdr:nvGrpSpPr>
      <xdr:grpSpPr>
        <a:xfrm>
          <a:off x="7330105" y="3335061"/>
          <a:ext cx="2988920" cy="3327026"/>
          <a:chOff x="13980085" y="3549296"/>
          <a:chExt cx="2992195" cy="3314100"/>
        </a:xfrm>
      </xdr:grpSpPr>
      <xdr:pic>
        <xdr:nvPicPr>
          <xdr:cNvPr id="62" name="Picture 61">
            <a:extLst>
              <a:ext uri="{FF2B5EF4-FFF2-40B4-BE49-F238E27FC236}">
                <a16:creationId xmlns:a16="http://schemas.microsoft.com/office/drawing/2014/main" id="{43CC5A31-753E-E0BC-4BC2-545A5A0D474C}"/>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4126" r="9380" b="14876"/>
          <a:stretch>
            <a:fillRect/>
          </a:stretch>
        </xdr:blipFill>
        <xdr:spPr>
          <a:xfrm>
            <a:off x="13980085" y="3549296"/>
            <a:ext cx="2992195" cy="3314100"/>
          </a:xfrm>
          <a:prstGeom prst="rect">
            <a:avLst/>
          </a:prstGeom>
        </xdr:spPr>
      </xdr:pic>
      <xdr:grpSp>
        <xdr:nvGrpSpPr>
          <xdr:cNvPr id="60" name="Group 59">
            <a:extLst>
              <a:ext uri="{FF2B5EF4-FFF2-40B4-BE49-F238E27FC236}">
                <a16:creationId xmlns:a16="http://schemas.microsoft.com/office/drawing/2014/main" id="{442ACA3C-107D-08DC-116D-31F51D9F49FF}"/>
              </a:ext>
            </a:extLst>
          </xdr:cNvPr>
          <xdr:cNvGrpSpPr/>
        </xdr:nvGrpSpPr>
        <xdr:grpSpPr>
          <a:xfrm>
            <a:off x="15481300" y="3839510"/>
            <a:ext cx="1069065" cy="600566"/>
            <a:chOff x="15481300" y="3839510"/>
            <a:chExt cx="1069065" cy="600566"/>
          </a:xfrm>
        </xdr:grpSpPr>
        <xdr:sp macro="" textlink="">
          <xdr:nvSpPr>
            <xdr:cNvPr id="82" name="TextBox 81">
              <a:extLst>
                <a:ext uri="{FF2B5EF4-FFF2-40B4-BE49-F238E27FC236}">
                  <a16:creationId xmlns:a16="http://schemas.microsoft.com/office/drawing/2014/main" id="{BDB21D40-2D30-46C1-A384-8D3B724EDA29}"/>
                </a:ext>
              </a:extLst>
            </xdr:cNvPr>
            <xdr:cNvSpPr txBox="1"/>
          </xdr:nvSpPr>
          <xdr:spPr>
            <a:xfrm>
              <a:off x="15546519" y="4096716"/>
              <a:ext cx="976456"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1">
                  <a:solidFill>
                    <a:schemeClr val="bg1"/>
                  </a:solidFill>
                  <a:latin typeface="Arial Black" panose="020B0A04020102020204" pitchFamily="34" charset="0"/>
                </a:rPr>
                <a:t>NORTH</a:t>
              </a:r>
              <a:r>
                <a:rPr lang="en-US" sz="600" b="1" baseline="0">
                  <a:solidFill>
                    <a:schemeClr val="bg1"/>
                  </a:solidFill>
                  <a:latin typeface="Arial Black" panose="020B0A04020102020204" pitchFamily="34" charset="0"/>
                </a:rPr>
                <a:t> </a:t>
              </a:r>
              <a:r>
                <a:rPr lang="en-US" sz="600" b="1">
                  <a:solidFill>
                    <a:schemeClr val="bg1"/>
                  </a:solidFill>
                  <a:latin typeface="Arial Black" panose="020B0A04020102020204" pitchFamily="34" charset="0"/>
                </a:rPr>
                <a:t>EAST</a:t>
              </a:r>
            </a:p>
          </xdr:txBody>
        </xdr:sp>
        <xdr:sp macro="" textlink="Northeast">
          <xdr:nvSpPr>
            <xdr:cNvPr id="83" name="TextBox 82">
              <a:extLst>
                <a:ext uri="{FF2B5EF4-FFF2-40B4-BE49-F238E27FC236}">
                  <a16:creationId xmlns:a16="http://schemas.microsoft.com/office/drawing/2014/main" id="{C3F0C71C-7D29-67F2-6179-92792A0681F4}"/>
                </a:ext>
              </a:extLst>
            </xdr:cNvPr>
            <xdr:cNvSpPr txBox="1"/>
          </xdr:nvSpPr>
          <xdr:spPr>
            <a:xfrm>
              <a:off x="15481300" y="4237658"/>
              <a:ext cx="1069065" cy="20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2F37EF-8C58-4780-AEFB-982AFCE924B4}" type="TxLink">
                <a:rPr lang="en-US" sz="1100" b="1" i="0" u="none" strike="noStrike">
                  <a:solidFill>
                    <a:schemeClr val="bg1"/>
                  </a:solidFill>
                  <a:latin typeface="Arial"/>
                  <a:cs typeface="Arial"/>
                </a:rPr>
                <a:pPr algn="ctr"/>
                <a:t> 26,174 </a:t>
              </a:fld>
              <a:endParaRPr lang="en-US" sz="1200" b="1">
                <a:solidFill>
                  <a:schemeClr val="bg1"/>
                </a:solidFill>
                <a:latin typeface="Arial Black" panose="020B0A04020102020204" pitchFamily="34" charset="0"/>
              </a:endParaRPr>
            </a:p>
          </xdr:txBody>
        </xdr:sp>
        <xdr:pic>
          <xdr:nvPicPr>
            <xdr:cNvPr id="16" name="Graphic 15" descr="Marker with solid fill">
              <a:extLst>
                <a:ext uri="{FF2B5EF4-FFF2-40B4-BE49-F238E27FC236}">
                  <a16:creationId xmlns:a16="http://schemas.microsoft.com/office/drawing/2014/main" id="{6C6B566D-2042-4509-6640-1F633FF7C9C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868936" y="3839510"/>
              <a:ext cx="354625" cy="350521"/>
            </a:xfrm>
            <a:prstGeom prst="rect">
              <a:avLst/>
            </a:prstGeom>
          </xdr:spPr>
        </xdr:pic>
      </xdr:grpSp>
      <xdr:grpSp>
        <xdr:nvGrpSpPr>
          <xdr:cNvPr id="71" name="Group 70">
            <a:extLst>
              <a:ext uri="{FF2B5EF4-FFF2-40B4-BE49-F238E27FC236}">
                <a16:creationId xmlns:a16="http://schemas.microsoft.com/office/drawing/2014/main" id="{464D432B-9B5E-20FD-D90B-BAEE1CC9AC84}"/>
              </a:ext>
            </a:extLst>
          </xdr:cNvPr>
          <xdr:cNvGrpSpPr/>
        </xdr:nvGrpSpPr>
        <xdr:grpSpPr>
          <a:xfrm>
            <a:off x="15709897" y="5202135"/>
            <a:ext cx="1087743" cy="645984"/>
            <a:chOff x="15709897" y="5202135"/>
            <a:chExt cx="1087743" cy="645984"/>
          </a:xfrm>
        </xdr:grpSpPr>
        <xdr:sp macro="" textlink="">
          <xdr:nvSpPr>
            <xdr:cNvPr id="103" name="TextBox 102">
              <a:extLst>
                <a:ext uri="{FF2B5EF4-FFF2-40B4-BE49-F238E27FC236}">
                  <a16:creationId xmlns:a16="http://schemas.microsoft.com/office/drawing/2014/main" id="{820376CC-C7C8-AC14-A5BF-91F0C717BD40}"/>
                </a:ext>
              </a:extLst>
            </xdr:cNvPr>
            <xdr:cNvSpPr txBox="1">
              <a:spLocks/>
            </xdr:cNvSpPr>
          </xdr:nvSpPr>
          <xdr:spPr>
            <a:xfrm>
              <a:off x="15776825" y="5496313"/>
              <a:ext cx="957218" cy="191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1">
                  <a:solidFill>
                    <a:schemeClr val="bg1"/>
                  </a:solidFill>
                  <a:latin typeface="Arial Black" panose="020B0A04020102020204" pitchFamily="34" charset="0"/>
                </a:rPr>
                <a:t>SOUTH</a:t>
              </a:r>
              <a:r>
                <a:rPr lang="en-US" sz="600" b="1" baseline="0">
                  <a:solidFill>
                    <a:schemeClr val="bg1"/>
                  </a:solidFill>
                  <a:latin typeface="Arial Black" panose="020B0A04020102020204" pitchFamily="34" charset="0"/>
                </a:rPr>
                <a:t> </a:t>
              </a:r>
              <a:r>
                <a:rPr lang="en-US" sz="600" b="1">
                  <a:solidFill>
                    <a:schemeClr val="bg1"/>
                  </a:solidFill>
                  <a:latin typeface="Arial Black" panose="020B0A04020102020204" pitchFamily="34" charset="0"/>
                </a:rPr>
                <a:t>EAST</a:t>
              </a:r>
            </a:p>
          </xdr:txBody>
        </xdr:sp>
        <xdr:sp macro="" textlink="Southeast">
          <xdr:nvSpPr>
            <xdr:cNvPr id="104" name="TextBox 103">
              <a:extLst>
                <a:ext uri="{FF2B5EF4-FFF2-40B4-BE49-F238E27FC236}">
                  <a16:creationId xmlns:a16="http://schemas.microsoft.com/office/drawing/2014/main" id="{4F57A93A-970B-7D5F-80F0-84AD2B3F6A49}"/>
                </a:ext>
              </a:extLst>
            </xdr:cNvPr>
            <xdr:cNvSpPr txBox="1">
              <a:spLocks/>
            </xdr:cNvSpPr>
          </xdr:nvSpPr>
          <xdr:spPr>
            <a:xfrm>
              <a:off x="15709897" y="5609121"/>
              <a:ext cx="1087743" cy="238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FFC88C-C3E9-4076-811D-75E8435901C4}" type="TxLink">
                <a:rPr lang="en-US" sz="1100" b="1" i="0" u="none" strike="noStrike">
                  <a:solidFill>
                    <a:schemeClr val="bg1"/>
                  </a:solidFill>
                  <a:latin typeface="Arial"/>
                  <a:cs typeface="Arial"/>
                </a:rPr>
                <a:t> 25,933 </a:t>
              </a:fld>
              <a:endParaRPr lang="en-US" sz="1200" b="1">
                <a:solidFill>
                  <a:schemeClr val="bg1"/>
                </a:solidFill>
                <a:latin typeface="Arial Black" panose="020B0A04020102020204" pitchFamily="34" charset="0"/>
              </a:endParaRPr>
            </a:p>
          </xdr:txBody>
        </xdr:sp>
        <xdr:pic>
          <xdr:nvPicPr>
            <xdr:cNvPr id="43" name="Graphic 42" descr="Marker with solid fill">
              <a:extLst>
                <a:ext uri="{FF2B5EF4-FFF2-40B4-BE49-F238E27FC236}">
                  <a16:creationId xmlns:a16="http://schemas.microsoft.com/office/drawing/2014/main" id="{E53CFBA4-EE39-69A2-3556-3A2075FC3342}"/>
                </a:ext>
              </a:extLst>
            </xdr:cNvPr>
            <xdr:cNvPicPr>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111067" y="5202135"/>
              <a:ext cx="360975" cy="350521"/>
            </a:xfrm>
            <a:prstGeom prst="rect">
              <a:avLst/>
            </a:prstGeom>
          </xdr:spPr>
        </xdr:pic>
      </xdr:grpSp>
      <xdr:grpSp>
        <xdr:nvGrpSpPr>
          <xdr:cNvPr id="59" name="Group 58">
            <a:extLst>
              <a:ext uri="{FF2B5EF4-FFF2-40B4-BE49-F238E27FC236}">
                <a16:creationId xmlns:a16="http://schemas.microsoft.com/office/drawing/2014/main" id="{38A908B8-7A0A-3FA9-2479-0741CC24A50C}"/>
              </a:ext>
            </a:extLst>
          </xdr:cNvPr>
          <xdr:cNvGrpSpPr/>
        </xdr:nvGrpSpPr>
        <xdr:grpSpPr>
          <a:xfrm>
            <a:off x="15053749" y="4170814"/>
            <a:ext cx="969924" cy="640277"/>
            <a:chOff x="15053749" y="4170814"/>
            <a:chExt cx="969924" cy="640277"/>
          </a:xfrm>
        </xdr:grpSpPr>
        <xdr:sp macro="" textlink="">
          <xdr:nvSpPr>
            <xdr:cNvPr id="78" name="TextBox 77">
              <a:extLst>
                <a:ext uri="{FF2B5EF4-FFF2-40B4-BE49-F238E27FC236}">
                  <a16:creationId xmlns:a16="http://schemas.microsoft.com/office/drawing/2014/main" id="{B136644B-2EF9-594C-308B-B3C677019CA6}"/>
                </a:ext>
              </a:extLst>
            </xdr:cNvPr>
            <xdr:cNvSpPr txBox="1"/>
          </xdr:nvSpPr>
          <xdr:spPr>
            <a:xfrm>
              <a:off x="15072820" y="4451901"/>
              <a:ext cx="950853" cy="203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1">
                  <a:solidFill>
                    <a:schemeClr val="bg1"/>
                  </a:solidFill>
                  <a:latin typeface="Arial Black" panose="020B0A04020102020204" pitchFamily="34" charset="0"/>
                </a:rPr>
                <a:t>NORTH</a:t>
              </a:r>
              <a:r>
                <a:rPr lang="en-US" sz="600" b="1" baseline="0">
                  <a:solidFill>
                    <a:schemeClr val="bg1"/>
                  </a:solidFill>
                  <a:latin typeface="Arial Black" panose="020B0A04020102020204" pitchFamily="34" charset="0"/>
                </a:rPr>
                <a:t> </a:t>
              </a:r>
              <a:r>
                <a:rPr lang="en-US" sz="600" b="1">
                  <a:solidFill>
                    <a:schemeClr val="bg1"/>
                  </a:solidFill>
                  <a:latin typeface="Arial Black" panose="020B0A04020102020204" pitchFamily="34" charset="0"/>
                </a:rPr>
                <a:t>CENTRAL</a:t>
              </a:r>
            </a:p>
          </xdr:txBody>
        </xdr:sp>
        <xdr:sp macro="" textlink="Northcentral">
          <xdr:nvSpPr>
            <xdr:cNvPr id="80" name="TextBox 79">
              <a:extLst>
                <a:ext uri="{FF2B5EF4-FFF2-40B4-BE49-F238E27FC236}">
                  <a16:creationId xmlns:a16="http://schemas.microsoft.com/office/drawing/2014/main" id="{94C0003E-CFB3-0303-13DC-8E7B8FDEE96D}"/>
                </a:ext>
              </a:extLst>
            </xdr:cNvPr>
            <xdr:cNvSpPr txBox="1"/>
          </xdr:nvSpPr>
          <xdr:spPr>
            <a:xfrm>
              <a:off x="15053749" y="4565132"/>
              <a:ext cx="896464" cy="245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80800-2A05-4EFC-9E13-423432E386EE}" type="TxLink">
                <a:rPr lang="en-US" sz="1100" b="1" i="0" u="none" strike="noStrike">
                  <a:solidFill>
                    <a:schemeClr val="bg1"/>
                  </a:solidFill>
                  <a:latin typeface="Arial"/>
                  <a:cs typeface="Arial"/>
                </a:rPr>
                <a:pPr algn="ctr"/>
                <a:t> 25,369 </a:t>
              </a:fld>
              <a:endParaRPr lang="en-US" sz="900" b="1">
                <a:solidFill>
                  <a:schemeClr val="bg1"/>
                </a:solidFill>
                <a:latin typeface="Arial Black" panose="020B0A04020102020204" pitchFamily="34" charset="0"/>
              </a:endParaRPr>
            </a:p>
          </xdr:txBody>
        </xdr:sp>
        <xdr:pic>
          <xdr:nvPicPr>
            <xdr:cNvPr id="48" name="Graphic 47" descr="Marker with solid fill">
              <a:extLst>
                <a:ext uri="{FF2B5EF4-FFF2-40B4-BE49-F238E27FC236}">
                  <a16:creationId xmlns:a16="http://schemas.microsoft.com/office/drawing/2014/main" id="{08F2DE7D-ABA9-0BEE-62A1-8A95963651C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336918" y="4170814"/>
              <a:ext cx="351450" cy="350521"/>
            </a:xfrm>
            <a:prstGeom prst="rect">
              <a:avLst/>
            </a:prstGeom>
          </xdr:spPr>
        </xdr:pic>
      </xdr:grpSp>
      <xdr:grpSp>
        <xdr:nvGrpSpPr>
          <xdr:cNvPr id="57" name="Group 56">
            <a:extLst>
              <a:ext uri="{FF2B5EF4-FFF2-40B4-BE49-F238E27FC236}">
                <a16:creationId xmlns:a16="http://schemas.microsoft.com/office/drawing/2014/main" id="{71252FE2-CF53-E1C5-D11A-20CCF365A245}"/>
              </a:ext>
            </a:extLst>
          </xdr:cNvPr>
          <xdr:cNvGrpSpPr/>
        </xdr:nvGrpSpPr>
        <xdr:grpSpPr>
          <a:xfrm>
            <a:off x="14142558" y="3663504"/>
            <a:ext cx="1078591" cy="629925"/>
            <a:chOff x="14142558" y="3663504"/>
            <a:chExt cx="1078591" cy="629925"/>
          </a:xfrm>
        </xdr:grpSpPr>
        <xdr:sp macro="" textlink="">
          <xdr:nvSpPr>
            <xdr:cNvPr id="97" name="TextBox 96">
              <a:extLst>
                <a:ext uri="{FF2B5EF4-FFF2-40B4-BE49-F238E27FC236}">
                  <a16:creationId xmlns:a16="http://schemas.microsoft.com/office/drawing/2014/main" id="{8100D279-7F8F-AFF5-1F99-A72499621923}"/>
                </a:ext>
              </a:extLst>
            </xdr:cNvPr>
            <xdr:cNvSpPr txBox="1"/>
          </xdr:nvSpPr>
          <xdr:spPr>
            <a:xfrm>
              <a:off x="14239403" y="3912261"/>
              <a:ext cx="904242" cy="235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1">
                  <a:solidFill>
                    <a:schemeClr val="bg1"/>
                  </a:solidFill>
                  <a:latin typeface="Arial Black" panose="020B0A04020102020204" pitchFamily="34" charset="0"/>
                </a:rPr>
                <a:t>NORTH</a:t>
              </a:r>
              <a:r>
                <a:rPr lang="en-US" sz="600" b="1" baseline="0">
                  <a:solidFill>
                    <a:schemeClr val="bg1"/>
                  </a:solidFill>
                  <a:latin typeface="Arial Black" panose="020B0A04020102020204" pitchFamily="34" charset="0"/>
                </a:rPr>
                <a:t> </a:t>
              </a:r>
              <a:r>
                <a:rPr lang="en-US" sz="600" b="1">
                  <a:solidFill>
                    <a:schemeClr val="bg1"/>
                  </a:solidFill>
                  <a:latin typeface="Arial Black" panose="020B0A04020102020204" pitchFamily="34" charset="0"/>
                </a:rPr>
                <a:t>WEST</a:t>
              </a:r>
            </a:p>
          </xdr:txBody>
        </xdr:sp>
        <xdr:sp macro="" textlink="Northwest">
          <xdr:nvSpPr>
            <xdr:cNvPr id="98" name="TextBox 97">
              <a:extLst>
                <a:ext uri="{FF2B5EF4-FFF2-40B4-BE49-F238E27FC236}">
                  <a16:creationId xmlns:a16="http://schemas.microsoft.com/office/drawing/2014/main" id="{E5175B63-A226-44AD-002A-DBEE2AC257B7}"/>
                </a:ext>
              </a:extLst>
            </xdr:cNvPr>
            <xdr:cNvSpPr txBox="1"/>
          </xdr:nvSpPr>
          <xdr:spPr>
            <a:xfrm>
              <a:off x="14142558" y="4049777"/>
              <a:ext cx="1078591" cy="243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C9C36C-D715-443D-9DBA-66BD1BBFBD6A}" type="TxLink">
                <a:rPr lang="en-US" sz="1100" b="1" i="0" u="none" strike="noStrike">
                  <a:solidFill>
                    <a:schemeClr val="bg1"/>
                  </a:solidFill>
                  <a:latin typeface="Arial"/>
                  <a:cs typeface="Arial"/>
                </a:rPr>
                <a:pPr algn="ctr"/>
                <a:t> 24,898 </a:t>
              </a:fld>
              <a:endParaRPr lang="en-US" sz="1200" b="1">
                <a:solidFill>
                  <a:schemeClr val="bg1"/>
                </a:solidFill>
                <a:latin typeface="Arial Black" panose="020B0A04020102020204" pitchFamily="34" charset="0"/>
              </a:endParaRPr>
            </a:p>
          </xdr:txBody>
        </xdr:sp>
        <xdr:pic>
          <xdr:nvPicPr>
            <xdr:cNvPr id="49" name="Graphic 48" descr="Marker with solid fill">
              <a:extLst>
                <a:ext uri="{FF2B5EF4-FFF2-40B4-BE49-F238E27FC236}">
                  <a16:creationId xmlns:a16="http://schemas.microsoft.com/office/drawing/2014/main" id="{F57A999E-273A-3526-E487-2D412BADE3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533362" y="3663504"/>
              <a:ext cx="348275" cy="360046"/>
            </a:xfrm>
            <a:prstGeom prst="rect">
              <a:avLst/>
            </a:prstGeom>
          </xdr:spPr>
        </xdr:pic>
      </xdr:grpSp>
      <xdr:grpSp>
        <xdr:nvGrpSpPr>
          <xdr:cNvPr id="58" name="Group 57">
            <a:extLst>
              <a:ext uri="{FF2B5EF4-FFF2-40B4-BE49-F238E27FC236}">
                <a16:creationId xmlns:a16="http://schemas.microsoft.com/office/drawing/2014/main" id="{8AC04D5C-9F75-9D0D-B175-66B206B825E9}"/>
              </a:ext>
            </a:extLst>
          </xdr:cNvPr>
          <xdr:cNvGrpSpPr/>
        </xdr:nvGrpSpPr>
        <xdr:grpSpPr>
          <a:xfrm>
            <a:off x="14135373" y="4333291"/>
            <a:ext cx="1065890" cy="681690"/>
            <a:chOff x="14135373" y="4333291"/>
            <a:chExt cx="1065890" cy="681690"/>
          </a:xfrm>
        </xdr:grpSpPr>
        <xdr:sp macro="" textlink="">
          <xdr:nvSpPr>
            <xdr:cNvPr id="117" name="TextBox 116">
              <a:extLst>
                <a:ext uri="{FF2B5EF4-FFF2-40B4-BE49-F238E27FC236}">
                  <a16:creationId xmlns:a16="http://schemas.microsoft.com/office/drawing/2014/main" id="{638D9B69-66AD-E4C4-0215-73C18C3A649B}"/>
                </a:ext>
              </a:extLst>
            </xdr:cNvPr>
            <xdr:cNvSpPr txBox="1"/>
          </xdr:nvSpPr>
          <xdr:spPr>
            <a:xfrm>
              <a:off x="14324836" y="4683677"/>
              <a:ext cx="690344" cy="169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chemeClr val="bg1"/>
                  </a:solidFill>
                  <a:latin typeface="Arial Black" panose="020B0A04020102020204" pitchFamily="34" charset="0"/>
                </a:rPr>
                <a:t>WEST</a:t>
              </a:r>
              <a:endParaRPr lang="en-US" sz="500" b="1">
                <a:solidFill>
                  <a:schemeClr val="bg1"/>
                </a:solidFill>
                <a:latin typeface="Arial Black" panose="020B0A04020102020204" pitchFamily="34" charset="0"/>
              </a:endParaRPr>
            </a:p>
          </xdr:txBody>
        </xdr:sp>
        <xdr:sp macro="" textlink="west">
          <xdr:nvSpPr>
            <xdr:cNvPr id="118" name="TextBox 117">
              <a:extLst>
                <a:ext uri="{FF2B5EF4-FFF2-40B4-BE49-F238E27FC236}">
                  <a16:creationId xmlns:a16="http://schemas.microsoft.com/office/drawing/2014/main" id="{CDAF5F51-1152-2E03-BDC3-459DAEF93FC1}"/>
                </a:ext>
              </a:extLst>
            </xdr:cNvPr>
            <xdr:cNvSpPr txBox="1"/>
          </xdr:nvSpPr>
          <xdr:spPr>
            <a:xfrm>
              <a:off x="14135373" y="4806395"/>
              <a:ext cx="1065890" cy="208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5FDA1-5538-4EB7-8FB5-507323ED205C}" type="TxLink">
                <a:rPr lang="en-US" sz="1100" b="1" i="0" u="none" strike="noStrike">
                  <a:solidFill>
                    <a:schemeClr val="bg1"/>
                  </a:solidFill>
                  <a:latin typeface="Arial"/>
                  <a:cs typeface="Arial"/>
                </a:rPr>
                <a:t> 24,862 </a:t>
              </a:fld>
              <a:endParaRPr lang="en-US" sz="1200" b="1">
                <a:solidFill>
                  <a:schemeClr val="bg1"/>
                </a:solidFill>
                <a:latin typeface="Arial Black" panose="020B0A04020102020204" pitchFamily="34" charset="0"/>
              </a:endParaRPr>
            </a:p>
          </xdr:txBody>
        </xdr:sp>
        <xdr:pic>
          <xdr:nvPicPr>
            <xdr:cNvPr id="56" name="Graphic 55" descr="Marker with solid fill">
              <a:extLst>
                <a:ext uri="{FF2B5EF4-FFF2-40B4-BE49-F238E27FC236}">
                  <a16:creationId xmlns:a16="http://schemas.microsoft.com/office/drawing/2014/main" id="{9A090AB1-8F01-F52F-B68A-AA8FB87DC55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536537" y="4333291"/>
              <a:ext cx="341925" cy="363221"/>
            </a:xfrm>
            <a:prstGeom prst="rect">
              <a:avLst/>
            </a:prstGeom>
          </xdr:spPr>
        </xdr:pic>
      </xdr:grpSp>
      <xdr:grpSp>
        <xdr:nvGrpSpPr>
          <xdr:cNvPr id="72" name="Group 71">
            <a:extLst>
              <a:ext uri="{FF2B5EF4-FFF2-40B4-BE49-F238E27FC236}">
                <a16:creationId xmlns:a16="http://schemas.microsoft.com/office/drawing/2014/main" id="{11161805-1E9E-B115-D16D-B2971A0803CE}"/>
              </a:ext>
            </a:extLst>
          </xdr:cNvPr>
          <xdr:cNvGrpSpPr/>
        </xdr:nvGrpSpPr>
        <xdr:grpSpPr>
          <a:xfrm>
            <a:off x="15307639" y="6058280"/>
            <a:ext cx="1044059" cy="651461"/>
            <a:chOff x="15307639" y="6058280"/>
            <a:chExt cx="1044059" cy="651461"/>
          </a:xfrm>
        </xdr:grpSpPr>
        <xdr:sp macro="" textlink="">
          <xdr:nvSpPr>
            <xdr:cNvPr id="79" name="TextBox 78">
              <a:extLst>
                <a:ext uri="{FF2B5EF4-FFF2-40B4-BE49-F238E27FC236}">
                  <a16:creationId xmlns:a16="http://schemas.microsoft.com/office/drawing/2014/main" id="{488E3F20-ED8E-D7FD-F08A-777A00CC2529}"/>
                </a:ext>
              </a:extLst>
            </xdr:cNvPr>
            <xdr:cNvSpPr txBox="1"/>
          </xdr:nvSpPr>
          <xdr:spPr>
            <a:xfrm>
              <a:off x="15330002" y="6350550"/>
              <a:ext cx="1016968" cy="217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1">
                  <a:solidFill>
                    <a:schemeClr val="bg1"/>
                  </a:solidFill>
                  <a:latin typeface="Arial Black" panose="020B0A04020102020204" pitchFamily="34" charset="0"/>
                </a:rPr>
                <a:t>SOUTH</a:t>
              </a:r>
              <a:r>
                <a:rPr lang="en-US" sz="600" b="1" baseline="0">
                  <a:solidFill>
                    <a:schemeClr val="bg1"/>
                  </a:solidFill>
                  <a:latin typeface="Arial Black" panose="020B0A04020102020204" pitchFamily="34" charset="0"/>
                </a:rPr>
                <a:t> </a:t>
              </a:r>
              <a:r>
                <a:rPr lang="en-US" sz="600" b="1">
                  <a:solidFill>
                    <a:schemeClr val="bg1"/>
                  </a:solidFill>
                  <a:latin typeface="Arial Black" panose="020B0A04020102020204" pitchFamily="34" charset="0"/>
                </a:rPr>
                <a:t>SOUTH</a:t>
              </a:r>
            </a:p>
          </xdr:txBody>
        </xdr:sp>
        <xdr:sp macro="" textlink="Southsouth">
          <xdr:nvSpPr>
            <xdr:cNvPr id="81" name="TextBox 80">
              <a:extLst>
                <a:ext uri="{FF2B5EF4-FFF2-40B4-BE49-F238E27FC236}">
                  <a16:creationId xmlns:a16="http://schemas.microsoft.com/office/drawing/2014/main" id="{1CD3EE44-18B8-D4D6-19BB-37E85B1AA778}"/>
                </a:ext>
              </a:extLst>
            </xdr:cNvPr>
            <xdr:cNvSpPr txBox="1"/>
          </xdr:nvSpPr>
          <xdr:spPr>
            <a:xfrm>
              <a:off x="15307639" y="6486851"/>
              <a:ext cx="1044059" cy="22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FCC1D9-5869-461D-B898-92249A551DD9}" type="TxLink">
                <a:rPr lang="en-US" sz="1100" b="1" i="0" u="none" strike="noStrike">
                  <a:solidFill>
                    <a:schemeClr val="bg1"/>
                  </a:solidFill>
                  <a:latin typeface="Arial"/>
                  <a:cs typeface="Arial"/>
                </a:rPr>
                <a:pPr algn="ctr"/>
                <a:t> 25,918 </a:t>
              </a:fld>
              <a:endParaRPr lang="en-US" sz="1100" b="1" i="0" u="none" strike="noStrike">
                <a:solidFill>
                  <a:schemeClr val="bg1"/>
                </a:solidFill>
                <a:latin typeface="Arial"/>
                <a:cs typeface="Arial"/>
              </a:endParaRPr>
            </a:p>
          </xdr:txBody>
        </xdr:sp>
        <xdr:pic>
          <xdr:nvPicPr>
            <xdr:cNvPr id="70" name="Graphic 69" descr="Marker with solid fill">
              <a:extLst>
                <a:ext uri="{FF2B5EF4-FFF2-40B4-BE49-F238E27FC236}">
                  <a16:creationId xmlns:a16="http://schemas.microsoft.com/office/drawing/2014/main" id="{65DF994B-79EE-A540-1ED3-AC4980ADEF5F}"/>
                </a:ext>
              </a:extLst>
            </xdr:cNvPr>
            <xdr:cNvPicPr>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649174" y="6058280"/>
              <a:ext cx="364150" cy="350521"/>
            </a:xfrm>
            <a:prstGeom prst="rect">
              <a:avLst/>
            </a:prstGeom>
          </xdr:spPr>
        </xdr:pic>
      </xdr:grpSp>
    </xdr:grpSp>
    <xdr:clientData/>
  </xdr:twoCellAnchor>
  <xdr:twoCellAnchor editAs="oneCell">
    <xdr:from>
      <xdr:col>1</xdr:col>
      <xdr:colOff>276364</xdr:colOff>
      <xdr:row>2</xdr:row>
      <xdr:rowOff>152123</xdr:rowOff>
    </xdr:from>
    <xdr:to>
      <xdr:col>2</xdr:col>
      <xdr:colOff>584131</xdr:colOff>
      <xdr:row>5</xdr:row>
      <xdr:rowOff>82825</xdr:rowOff>
    </xdr:to>
    <xdr:pic>
      <xdr:nvPicPr>
        <xdr:cNvPr id="75" name="Picture 74">
          <a:extLst>
            <a:ext uri="{FF2B5EF4-FFF2-40B4-BE49-F238E27FC236}">
              <a16:creationId xmlns:a16="http://schemas.microsoft.com/office/drawing/2014/main" id="{9FE0A294-504A-E5E4-0E00-45E98AB07BB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7206" y="483427"/>
          <a:ext cx="918610" cy="434009"/>
        </a:xfrm>
        <a:prstGeom prst="rect">
          <a:avLst/>
        </a:prstGeom>
      </xdr:spPr>
    </xdr:pic>
    <xdr:clientData/>
  </xdr:twoCellAnchor>
  <xdr:twoCellAnchor>
    <xdr:from>
      <xdr:col>12</xdr:col>
      <xdr:colOff>62118</xdr:colOff>
      <xdr:row>19</xdr:row>
      <xdr:rowOff>20708</xdr:rowOff>
    </xdr:from>
    <xdr:to>
      <xdr:col>16</xdr:col>
      <xdr:colOff>444362</xdr:colOff>
      <xdr:row>20</xdr:row>
      <xdr:rowOff>79651</xdr:rowOff>
    </xdr:to>
    <xdr:sp macro="" textlink="">
      <xdr:nvSpPr>
        <xdr:cNvPr id="76" name="TextBox 75">
          <a:extLst>
            <a:ext uri="{FF2B5EF4-FFF2-40B4-BE49-F238E27FC236}">
              <a16:creationId xmlns:a16="http://schemas.microsoft.com/office/drawing/2014/main" id="{F6939802-CD48-C793-4654-E6824451F844}"/>
            </a:ext>
          </a:extLst>
        </xdr:cNvPr>
        <xdr:cNvSpPr txBox="1"/>
      </xdr:nvSpPr>
      <xdr:spPr>
        <a:xfrm>
          <a:off x="7392227" y="3168099"/>
          <a:ext cx="2825613" cy="224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What Region did the most number in sales?</a:t>
          </a:r>
          <a:endParaRPr lang="en-US" sz="1100">
            <a:effectLst/>
          </a:endParaRPr>
        </a:p>
      </xdr:txBody>
    </xdr:sp>
    <xdr:clientData/>
  </xdr:twoCellAnchor>
  <xdr:twoCellAnchor>
    <xdr:from>
      <xdr:col>5</xdr:col>
      <xdr:colOff>479424</xdr:colOff>
      <xdr:row>2</xdr:row>
      <xdr:rowOff>82825</xdr:rowOff>
    </xdr:from>
    <xdr:to>
      <xdr:col>14</xdr:col>
      <xdr:colOff>138596</xdr:colOff>
      <xdr:row>4</xdr:row>
      <xdr:rowOff>45415</xdr:rowOff>
    </xdr:to>
    <xdr:sp macro="" textlink="">
      <xdr:nvSpPr>
        <xdr:cNvPr id="77" name="TextBox 76">
          <a:extLst>
            <a:ext uri="{FF2B5EF4-FFF2-40B4-BE49-F238E27FC236}">
              <a16:creationId xmlns:a16="http://schemas.microsoft.com/office/drawing/2014/main" id="{A6C1737D-D975-8AFF-A4E0-A4F2CA64EED2}"/>
            </a:ext>
          </a:extLst>
        </xdr:cNvPr>
        <xdr:cNvSpPr txBox="1"/>
      </xdr:nvSpPr>
      <xdr:spPr>
        <a:xfrm>
          <a:off x="3533636" y="414129"/>
          <a:ext cx="5156753" cy="293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13434C"/>
              </a:solidFill>
            </a:rPr>
            <a:t>INTERNATIONAL</a:t>
          </a:r>
          <a:r>
            <a:rPr lang="en-US" sz="1600" b="1" baseline="0">
              <a:solidFill>
                <a:srgbClr val="13434C"/>
              </a:solidFill>
            </a:rPr>
            <a:t> BREWERY OF AFRICA CONGLOMERATE</a:t>
          </a:r>
          <a:endParaRPr lang="en-US" sz="1600" b="1">
            <a:solidFill>
              <a:srgbClr val="13434C"/>
            </a:solidFill>
          </a:endParaRPr>
        </a:p>
      </xdr:txBody>
    </xdr:sp>
    <xdr:clientData/>
  </xdr:twoCellAnchor>
  <xdr:twoCellAnchor>
    <xdr:from>
      <xdr:col>3</xdr:col>
      <xdr:colOff>483431</xdr:colOff>
      <xdr:row>4</xdr:row>
      <xdr:rowOff>96353</xdr:rowOff>
    </xdr:from>
    <xdr:to>
      <xdr:col>5</xdr:col>
      <xdr:colOff>479428</xdr:colOff>
      <xdr:row>6</xdr:row>
      <xdr:rowOff>86000</xdr:rowOff>
    </xdr:to>
    <xdr:sp macro="" textlink="">
      <xdr:nvSpPr>
        <xdr:cNvPr id="88" name="TextBox 87">
          <a:extLst>
            <a:ext uri="{FF2B5EF4-FFF2-40B4-BE49-F238E27FC236}">
              <a16:creationId xmlns:a16="http://schemas.microsoft.com/office/drawing/2014/main" id="{B7981BE2-13B4-FC9C-C901-E86664B19F87}"/>
            </a:ext>
          </a:extLst>
        </xdr:cNvPr>
        <xdr:cNvSpPr txBox="1"/>
      </xdr:nvSpPr>
      <xdr:spPr>
        <a:xfrm>
          <a:off x="2315958" y="758962"/>
          <a:ext cx="1217682" cy="32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Revenue</a:t>
          </a:r>
        </a:p>
      </xdr:txBody>
    </xdr:sp>
    <xdr:clientData/>
  </xdr:twoCellAnchor>
  <xdr:twoCellAnchor>
    <xdr:from>
      <xdr:col>5</xdr:col>
      <xdr:colOff>562253</xdr:colOff>
      <xdr:row>4</xdr:row>
      <xdr:rowOff>103531</xdr:rowOff>
    </xdr:from>
    <xdr:to>
      <xdr:col>7</xdr:col>
      <xdr:colOff>555075</xdr:colOff>
      <xdr:row>6</xdr:row>
      <xdr:rowOff>106707</xdr:rowOff>
    </xdr:to>
    <xdr:sp macro="" textlink="">
      <xdr:nvSpPr>
        <xdr:cNvPr id="89" name="TextBox 88">
          <a:extLst>
            <a:ext uri="{FF2B5EF4-FFF2-40B4-BE49-F238E27FC236}">
              <a16:creationId xmlns:a16="http://schemas.microsoft.com/office/drawing/2014/main" id="{E641E91D-3045-AA67-5553-6A23513AB82E}"/>
            </a:ext>
          </a:extLst>
        </xdr:cNvPr>
        <xdr:cNvSpPr txBox="1"/>
      </xdr:nvSpPr>
      <xdr:spPr>
        <a:xfrm>
          <a:off x="3616465" y="766140"/>
          <a:ext cx="1214507" cy="33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Profit</a:t>
          </a:r>
        </a:p>
      </xdr:txBody>
    </xdr:sp>
    <xdr:clientData/>
  </xdr:twoCellAnchor>
  <xdr:twoCellAnchor>
    <xdr:from>
      <xdr:col>8</xdr:col>
      <xdr:colOff>113882</xdr:colOff>
      <xdr:row>4</xdr:row>
      <xdr:rowOff>121062</xdr:rowOff>
    </xdr:from>
    <xdr:to>
      <xdr:col>10</xdr:col>
      <xdr:colOff>106704</xdr:colOff>
      <xdr:row>6</xdr:row>
      <xdr:rowOff>38237</xdr:rowOff>
    </xdr:to>
    <xdr:sp macro="" textlink="">
      <xdr:nvSpPr>
        <xdr:cNvPr id="90" name="TextBox 89">
          <a:extLst>
            <a:ext uri="{FF2B5EF4-FFF2-40B4-BE49-F238E27FC236}">
              <a16:creationId xmlns:a16="http://schemas.microsoft.com/office/drawing/2014/main" id="{BD27BD14-CEF3-4858-E4FC-39FD5DB6B487}"/>
            </a:ext>
          </a:extLst>
        </xdr:cNvPr>
        <xdr:cNvSpPr txBox="1"/>
      </xdr:nvSpPr>
      <xdr:spPr>
        <a:xfrm>
          <a:off x="5000621" y="783671"/>
          <a:ext cx="1214507" cy="24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Quantity Sold</a:t>
          </a:r>
        </a:p>
      </xdr:txBody>
    </xdr:sp>
    <xdr:clientData/>
  </xdr:twoCellAnchor>
  <xdr:twoCellAnchor>
    <xdr:from>
      <xdr:col>14</xdr:col>
      <xdr:colOff>293895</xdr:colOff>
      <xdr:row>4</xdr:row>
      <xdr:rowOff>141767</xdr:rowOff>
    </xdr:from>
    <xdr:to>
      <xdr:col>16</xdr:col>
      <xdr:colOff>603664</xdr:colOff>
      <xdr:row>6</xdr:row>
      <xdr:rowOff>31059</xdr:rowOff>
    </xdr:to>
    <xdr:sp macro="" textlink="">
      <xdr:nvSpPr>
        <xdr:cNvPr id="91" name="TextBox 90">
          <a:extLst>
            <a:ext uri="{FF2B5EF4-FFF2-40B4-BE49-F238E27FC236}">
              <a16:creationId xmlns:a16="http://schemas.microsoft.com/office/drawing/2014/main" id="{D84A148A-54B5-5AED-5366-819631D85480}"/>
            </a:ext>
          </a:extLst>
        </xdr:cNvPr>
        <xdr:cNvSpPr txBox="1"/>
      </xdr:nvSpPr>
      <xdr:spPr>
        <a:xfrm>
          <a:off x="8845688" y="804376"/>
          <a:ext cx="1531454" cy="220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Top Profitable Country</a:t>
          </a:r>
        </a:p>
      </xdr:txBody>
    </xdr:sp>
    <xdr:clientData/>
  </xdr:twoCellAnchor>
  <xdr:twoCellAnchor>
    <xdr:from>
      <xdr:col>12</xdr:col>
      <xdr:colOff>59765</xdr:colOff>
      <xdr:row>4</xdr:row>
      <xdr:rowOff>103532</xdr:rowOff>
    </xdr:from>
    <xdr:to>
      <xdr:col>14</xdr:col>
      <xdr:colOff>379895</xdr:colOff>
      <xdr:row>6</xdr:row>
      <xdr:rowOff>54941</xdr:rowOff>
    </xdr:to>
    <xdr:sp macro="" textlink="">
      <xdr:nvSpPr>
        <xdr:cNvPr id="92" name="TextBox 91">
          <a:extLst>
            <a:ext uri="{FF2B5EF4-FFF2-40B4-BE49-F238E27FC236}">
              <a16:creationId xmlns:a16="http://schemas.microsoft.com/office/drawing/2014/main" id="{D6F6317D-6165-8BEF-4E44-05251056FCBE}"/>
            </a:ext>
          </a:extLst>
        </xdr:cNvPr>
        <xdr:cNvSpPr txBox="1"/>
      </xdr:nvSpPr>
      <xdr:spPr>
        <a:xfrm>
          <a:off x="7389874" y="766141"/>
          <a:ext cx="1541814" cy="282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Most</a:t>
          </a:r>
          <a:r>
            <a:rPr lang="en-US" sz="1100" b="1" baseline="0"/>
            <a:t> Consumed Brand</a:t>
          </a:r>
          <a:endParaRPr lang="en-US" sz="1100" b="1"/>
        </a:p>
      </xdr:txBody>
    </xdr:sp>
    <xdr:clientData/>
  </xdr:twoCellAnchor>
  <xdr:twoCellAnchor>
    <xdr:from>
      <xdr:col>9</xdr:col>
      <xdr:colOff>590135</xdr:colOff>
      <xdr:row>4</xdr:row>
      <xdr:rowOff>106707</xdr:rowOff>
    </xdr:from>
    <xdr:to>
      <xdr:col>12</xdr:col>
      <xdr:colOff>82826</xdr:colOff>
      <xdr:row>8</xdr:row>
      <xdr:rowOff>36214</xdr:rowOff>
    </xdr:to>
    <xdr:sp macro="" textlink="">
      <xdr:nvSpPr>
        <xdr:cNvPr id="109" name="Rectangle: Rounded Corners 108">
          <a:extLst>
            <a:ext uri="{FF2B5EF4-FFF2-40B4-BE49-F238E27FC236}">
              <a16:creationId xmlns:a16="http://schemas.microsoft.com/office/drawing/2014/main" id="{D854194B-546A-ABDB-11FD-505CAA392E92}"/>
            </a:ext>
          </a:extLst>
        </xdr:cNvPr>
        <xdr:cNvSpPr/>
      </xdr:nvSpPr>
      <xdr:spPr>
        <a:xfrm>
          <a:off x="6087717" y="769316"/>
          <a:ext cx="1325218" cy="592115"/>
        </a:xfrm>
        <a:prstGeom prst="roundRect">
          <a:avLst/>
        </a:prstGeom>
        <a:solidFill>
          <a:srgbClr val="13434C">
            <a:alpha val="22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496957</xdr:colOff>
      <xdr:row>6</xdr:row>
      <xdr:rowOff>2</xdr:rowOff>
    </xdr:from>
    <xdr:to>
      <xdr:col>5</xdr:col>
      <xdr:colOff>382241</xdr:colOff>
      <xdr:row>7</xdr:row>
      <xdr:rowOff>113887</xdr:rowOff>
    </xdr:to>
    <xdr:sp macro="" textlink="Total_Revenue">
      <xdr:nvSpPr>
        <xdr:cNvPr id="110" name="TextBox 109">
          <a:extLst>
            <a:ext uri="{FF2B5EF4-FFF2-40B4-BE49-F238E27FC236}">
              <a16:creationId xmlns:a16="http://schemas.microsoft.com/office/drawing/2014/main" id="{D9D4BBF4-2517-6AAC-7C9F-A9135EF7A809}"/>
            </a:ext>
          </a:extLst>
        </xdr:cNvPr>
        <xdr:cNvSpPr txBox="1"/>
      </xdr:nvSpPr>
      <xdr:spPr>
        <a:xfrm>
          <a:off x="2329484" y="993915"/>
          <a:ext cx="1106969" cy="279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8E5206-1533-4F6F-BA15-CB4C3D5FF3CF}" type="TxLink">
            <a:rPr lang="en-US" sz="1100" b="1" i="0" u="none" strike="noStrike">
              <a:solidFill>
                <a:srgbClr val="000000"/>
              </a:solidFill>
              <a:latin typeface="Arial"/>
              <a:cs typeface="Arial"/>
            </a:rPr>
            <a:pPr algn="ctr"/>
            <a:t> 27,916,150 </a:t>
          </a:fld>
          <a:endParaRPr lang="en-US" sz="1400" b="1"/>
        </a:p>
      </xdr:txBody>
    </xdr:sp>
    <xdr:clientData/>
  </xdr:twoCellAnchor>
  <xdr:twoCellAnchor>
    <xdr:from>
      <xdr:col>5</xdr:col>
      <xdr:colOff>597312</xdr:colOff>
      <xdr:row>6</xdr:row>
      <xdr:rowOff>0</xdr:rowOff>
    </xdr:from>
    <xdr:to>
      <xdr:col>7</xdr:col>
      <xdr:colOff>445191</xdr:colOff>
      <xdr:row>7</xdr:row>
      <xdr:rowOff>103682</xdr:rowOff>
    </xdr:to>
    <xdr:sp macro="" textlink="Total_Profit">
      <xdr:nvSpPr>
        <xdr:cNvPr id="111" name="TextBox 110">
          <a:extLst>
            <a:ext uri="{FF2B5EF4-FFF2-40B4-BE49-F238E27FC236}">
              <a16:creationId xmlns:a16="http://schemas.microsoft.com/office/drawing/2014/main" id="{9BDBED93-93FD-19E1-A981-5313799095A4}"/>
            </a:ext>
          </a:extLst>
        </xdr:cNvPr>
        <xdr:cNvSpPr txBox="1"/>
      </xdr:nvSpPr>
      <xdr:spPr>
        <a:xfrm>
          <a:off x="3651524" y="993913"/>
          <a:ext cx="1069564" cy="269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EF4EE2-3A7F-41D1-A51C-CB74EEBEDC74}" type="TxLink">
            <a:rPr lang="en-US" sz="1050" b="1" i="0" u="none" strike="noStrike">
              <a:solidFill>
                <a:srgbClr val="000000"/>
              </a:solidFill>
              <a:latin typeface="Arial"/>
              <a:cs typeface="Arial"/>
            </a:rPr>
            <a:t> 29,675,920 </a:t>
          </a:fld>
          <a:endParaRPr lang="en-US" sz="1400" b="1"/>
        </a:p>
      </xdr:txBody>
    </xdr:sp>
    <xdr:clientData/>
  </xdr:twoCellAnchor>
  <xdr:twoCellAnchor>
    <xdr:from>
      <xdr:col>8</xdr:col>
      <xdr:colOff>140116</xdr:colOff>
      <xdr:row>6</xdr:row>
      <xdr:rowOff>9525</xdr:rowOff>
    </xdr:from>
    <xdr:to>
      <xdr:col>9</xdr:col>
      <xdr:colOff>352012</xdr:colOff>
      <xdr:row>7</xdr:row>
      <xdr:rowOff>94008</xdr:rowOff>
    </xdr:to>
    <xdr:sp macro="" textlink="Quantity_Sold">
      <xdr:nvSpPr>
        <xdr:cNvPr id="112" name="TextBox 111">
          <a:extLst>
            <a:ext uri="{FF2B5EF4-FFF2-40B4-BE49-F238E27FC236}">
              <a16:creationId xmlns:a16="http://schemas.microsoft.com/office/drawing/2014/main" id="{49505B1D-2547-67AA-8D06-F26788D145C3}"/>
            </a:ext>
          </a:extLst>
        </xdr:cNvPr>
        <xdr:cNvSpPr txBox="1"/>
      </xdr:nvSpPr>
      <xdr:spPr>
        <a:xfrm>
          <a:off x="5026855" y="1003438"/>
          <a:ext cx="822739" cy="250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FC83C9-71C8-4666-89A9-C884413EC38D}" type="TxLink">
            <a:rPr lang="en-US" sz="1100" b="1" i="0" u="none" strike="noStrike">
              <a:solidFill>
                <a:srgbClr val="000000"/>
              </a:solidFill>
              <a:latin typeface="Arial"/>
              <a:cs typeface="Arial"/>
            </a:rPr>
            <a:t> 153,154 </a:t>
          </a:fld>
          <a:endParaRPr lang="en-US" sz="1800" b="1"/>
        </a:p>
      </xdr:txBody>
    </xdr:sp>
    <xdr:clientData/>
  </xdr:twoCellAnchor>
  <xdr:twoCellAnchor>
    <xdr:from>
      <xdr:col>12</xdr:col>
      <xdr:colOff>241299</xdr:colOff>
      <xdr:row>6</xdr:row>
      <xdr:rowOff>31063</xdr:rowOff>
    </xdr:from>
    <xdr:to>
      <xdr:col>14</xdr:col>
      <xdr:colOff>162477</xdr:colOff>
      <xdr:row>7</xdr:row>
      <xdr:rowOff>48592</xdr:rowOff>
    </xdr:to>
    <xdr:sp macro="" textlink="Most_Consumed_Brand">
      <xdr:nvSpPr>
        <xdr:cNvPr id="113" name="TextBox 112">
          <a:extLst>
            <a:ext uri="{FF2B5EF4-FFF2-40B4-BE49-F238E27FC236}">
              <a16:creationId xmlns:a16="http://schemas.microsoft.com/office/drawing/2014/main" id="{E7DCB9C9-8067-4007-2842-E7CADA7245B8}"/>
            </a:ext>
          </a:extLst>
        </xdr:cNvPr>
        <xdr:cNvSpPr txBox="1"/>
      </xdr:nvSpPr>
      <xdr:spPr>
        <a:xfrm>
          <a:off x="7571408" y="1024976"/>
          <a:ext cx="1142862" cy="18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809FB6-00A4-41A9-8FE7-84AB20D9712D}" type="TxLink">
            <a:rPr lang="en-US" sz="1100" b="1" i="0" u="none" strike="noStrike">
              <a:solidFill>
                <a:srgbClr val="000000"/>
              </a:solidFill>
              <a:latin typeface="Arial"/>
              <a:cs typeface="Arial"/>
            </a:rPr>
            <a:t>Eagle Lager</a:t>
          </a:fld>
          <a:endParaRPr lang="en-US" sz="3200" b="1"/>
        </a:p>
      </xdr:txBody>
    </xdr:sp>
    <xdr:clientData/>
  </xdr:twoCellAnchor>
  <xdr:twoCellAnchor>
    <xdr:from>
      <xdr:col>15</xdr:col>
      <xdr:colOff>45417</xdr:colOff>
      <xdr:row>5</xdr:row>
      <xdr:rowOff>152124</xdr:rowOff>
    </xdr:from>
    <xdr:to>
      <xdr:col>16</xdr:col>
      <xdr:colOff>336141</xdr:colOff>
      <xdr:row>7</xdr:row>
      <xdr:rowOff>82826</xdr:rowOff>
    </xdr:to>
    <xdr:sp macro="" textlink="Top_Profitable_Country">
      <xdr:nvSpPr>
        <xdr:cNvPr id="114" name="TextBox 113">
          <a:extLst>
            <a:ext uri="{FF2B5EF4-FFF2-40B4-BE49-F238E27FC236}">
              <a16:creationId xmlns:a16="http://schemas.microsoft.com/office/drawing/2014/main" id="{3E136EDD-7303-7F8B-F42E-AD8F7F8EA62B}"/>
            </a:ext>
          </a:extLst>
        </xdr:cNvPr>
        <xdr:cNvSpPr txBox="1"/>
      </xdr:nvSpPr>
      <xdr:spPr>
        <a:xfrm>
          <a:off x="9208053" y="980385"/>
          <a:ext cx="901566" cy="262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500001-8BE8-4DD9-8B0E-D2A3CCD53DC6}" type="TxLink">
            <a:rPr lang="en-US" sz="1400" b="1" i="0" u="none" strike="noStrike">
              <a:solidFill>
                <a:srgbClr val="000000"/>
              </a:solidFill>
              <a:latin typeface="Arial"/>
              <a:cs typeface="Arial"/>
            </a:rPr>
            <a:t>Nigeria</a:t>
          </a:fld>
          <a:endParaRPr lang="en-US" sz="6000" b="1"/>
        </a:p>
      </xdr:txBody>
    </xdr:sp>
    <xdr:clientData/>
  </xdr:twoCellAnchor>
  <xdr:twoCellAnchor>
    <xdr:from>
      <xdr:col>3</xdr:col>
      <xdr:colOff>285886</xdr:colOff>
      <xdr:row>5</xdr:row>
      <xdr:rowOff>34234</xdr:rowOff>
    </xdr:from>
    <xdr:to>
      <xdr:col>3</xdr:col>
      <xdr:colOff>597313</xdr:colOff>
      <xdr:row>7</xdr:row>
      <xdr:rowOff>58116</xdr:rowOff>
    </xdr:to>
    <xdr:grpSp>
      <xdr:nvGrpSpPr>
        <xdr:cNvPr id="127" name="Group 126">
          <a:extLst>
            <a:ext uri="{FF2B5EF4-FFF2-40B4-BE49-F238E27FC236}">
              <a16:creationId xmlns:a16="http://schemas.microsoft.com/office/drawing/2014/main" id="{DB39E4C2-A73B-F3B5-F1EF-1D872971CB42}"/>
            </a:ext>
          </a:extLst>
        </xdr:cNvPr>
        <xdr:cNvGrpSpPr/>
      </xdr:nvGrpSpPr>
      <xdr:grpSpPr>
        <a:xfrm>
          <a:off x="2118413" y="859320"/>
          <a:ext cx="314602" cy="358361"/>
          <a:chOff x="11809066" y="2366893"/>
          <a:chExt cx="847217" cy="845792"/>
        </a:xfrm>
      </xdr:grpSpPr>
      <xdr:sp macro="" textlink="">
        <xdr:nvSpPr>
          <xdr:cNvPr id="121" name="Oval 120">
            <a:extLst>
              <a:ext uri="{FF2B5EF4-FFF2-40B4-BE49-F238E27FC236}">
                <a16:creationId xmlns:a16="http://schemas.microsoft.com/office/drawing/2014/main" id="{E4584788-4E8E-4D16-A42E-DB73B790AAEB}"/>
              </a:ext>
            </a:extLst>
          </xdr:cNvPr>
          <xdr:cNvSpPr/>
        </xdr:nvSpPr>
        <xdr:spPr>
          <a:xfrm>
            <a:off x="11809066" y="2366893"/>
            <a:ext cx="847217" cy="845792"/>
          </a:xfrm>
          <a:prstGeom prst="ellipse">
            <a:avLst/>
          </a:prstGeom>
          <a:solidFill>
            <a:srgbClr val="1343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2" name="Graphic 121" descr="Dollar with solid fill">
            <a:extLst>
              <a:ext uri="{FF2B5EF4-FFF2-40B4-BE49-F238E27FC236}">
                <a16:creationId xmlns:a16="http://schemas.microsoft.com/office/drawing/2014/main" id="{C8C2137B-B6E8-4699-AB68-D4E7CA1F381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65195" y="2522845"/>
            <a:ext cx="547894" cy="580052"/>
          </a:xfrm>
          <a:prstGeom prst="rect">
            <a:avLst/>
          </a:prstGeom>
        </xdr:spPr>
      </xdr:pic>
    </xdr:grpSp>
    <xdr:clientData/>
  </xdr:twoCellAnchor>
  <xdr:twoCellAnchor>
    <xdr:from>
      <xdr:col>5</xdr:col>
      <xdr:colOff>445189</xdr:colOff>
      <xdr:row>5</xdr:row>
      <xdr:rowOff>38240</xdr:rowOff>
    </xdr:from>
    <xdr:to>
      <xdr:col>6</xdr:col>
      <xdr:colOff>145243</xdr:colOff>
      <xdr:row>7</xdr:row>
      <xdr:rowOff>63552</xdr:rowOff>
    </xdr:to>
    <xdr:grpSp>
      <xdr:nvGrpSpPr>
        <xdr:cNvPr id="126" name="Group 125">
          <a:extLst>
            <a:ext uri="{FF2B5EF4-FFF2-40B4-BE49-F238E27FC236}">
              <a16:creationId xmlns:a16="http://schemas.microsoft.com/office/drawing/2014/main" id="{A99F6025-0C63-D31A-7705-755C6DD7E08F}"/>
            </a:ext>
          </a:extLst>
        </xdr:cNvPr>
        <xdr:cNvGrpSpPr/>
      </xdr:nvGrpSpPr>
      <xdr:grpSpPr>
        <a:xfrm>
          <a:off x="3502576" y="866501"/>
          <a:ext cx="304546" cy="359791"/>
          <a:chOff x="11917431" y="2239479"/>
          <a:chExt cx="841248" cy="835440"/>
        </a:xfrm>
      </xdr:grpSpPr>
      <xdr:sp macro="" textlink="">
        <xdr:nvSpPr>
          <xdr:cNvPr id="125" name="Oval 124">
            <a:extLst>
              <a:ext uri="{FF2B5EF4-FFF2-40B4-BE49-F238E27FC236}">
                <a16:creationId xmlns:a16="http://schemas.microsoft.com/office/drawing/2014/main" id="{17A54267-4A5B-99B6-CBBA-BE5755AE46E3}"/>
              </a:ext>
            </a:extLst>
          </xdr:cNvPr>
          <xdr:cNvSpPr/>
        </xdr:nvSpPr>
        <xdr:spPr>
          <a:xfrm>
            <a:off x="11917431" y="2239479"/>
            <a:ext cx="841248" cy="835440"/>
          </a:xfrm>
          <a:prstGeom prst="ellipse">
            <a:avLst/>
          </a:prstGeom>
          <a:solidFill>
            <a:srgbClr val="1343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4" name="Graphic 123" descr="Upward trend with solid fill">
            <a:extLst>
              <a:ext uri="{FF2B5EF4-FFF2-40B4-BE49-F238E27FC236}">
                <a16:creationId xmlns:a16="http://schemas.microsoft.com/office/drawing/2014/main" id="{E2783F25-E43C-4F8B-B8E9-D01B5CEDE00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033540" y="2347953"/>
            <a:ext cx="590259" cy="602726"/>
          </a:xfrm>
          <a:prstGeom prst="rect">
            <a:avLst/>
          </a:prstGeom>
        </xdr:spPr>
      </xdr:pic>
    </xdr:grpSp>
    <xdr:clientData/>
  </xdr:twoCellAnchor>
  <xdr:twoCellAnchor>
    <xdr:from>
      <xdr:col>7</xdr:col>
      <xdr:colOff>569430</xdr:colOff>
      <xdr:row>5</xdr:row>
      <xdr:rowOff>38240</xdr:rowOff>
    </xdr:from>
    <xdr:to>
      <xdr:col>8</xdr:col>
      <xdr:colOff>257165</xdr:colOff>
      <xdr:row>7</xdr:row>
      <xdr:rowOff>66727</xdr:rowOff>
    </xdr:to>
    <xdr:grpSp>
      <xdr:nvGrpSpPr>
        <xdr:cNvPr id="134" name="Group 133">
          <a:extLst>
            <a:ext uri="{FF2B5EF4-FFF2-40B4-BE49-F238E27FC236}">
              <a16:creationId xmlns:a16="http://schemas.microsoft.com/office/drawing/2014/main" id="{DC48C6C5-044B-87C5-D622-90D1DA296464}"/>
            </a:ext>
          </a:extLst>
        </xdr:cNvPr>
        <xdr:cNvGrpSpPr/>
      </xdr:nvGrpSpPr>
      <xdr:grpSpPr>
        <a:xfrm>
          <a:off x="4845327" y="866501"/>
          <a:ext cx="301752" cy="356616"/>
          <a:chOff x="12444620" y="1684407"/>
          <a:chExt cx="897856" cy="902462"/>
        </a:xfrm>
      </xdr:grpSpPr>
      <xdr:sp macro="" textlink="">
        <xdr:nvSpPr>
          <xdr:cNvPr id="135" name="Oval 134">
            <a:extLst>
              <a:ext uri="{FF2B5EF4-FFF2-40B4-BE49-F238E27FC236}">
                <a16:creationId xmlns:a16="http://schemas.microsoft.com/office/drawing/2014/main" id="{C075A9C0-9CF1-E1D2-DCDD-11A17BBB57FF}"/>
              </a:ext>
            </a:extLst>
          </xdr:cNvPr>
          <xdr:cNvSpPr/>
        </xdr:nvSpPr>
        <xdr:spPr>
          <a:xfrm>
            <a:off x="12444620" y="1684407"/>
            <a:ext cx="897856" cy="902462"/>
          </a:xfrm>
          <a:prstGeom prst="ellipse">
            <a:avLst/>
          </a:prstGeom>
          <a:solidFill>
            <a:srgbClr val="1343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36" name="Graphic 135" descr="Coins with solid fill">
            <a:extLst>
              <a:ext uri="{FF2B5EF4-FFF2-40B4-BE49-F238E27FC236}">
                <a16:creationId xmlns:a16="http://schemas.microsoft.com/office/drawing/2014/main" id="{9834CA78-85F0-EA7C-E46D-B00D083D824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576038" y="1798292"/>
            <a:ext cx="652255" cy="656800"/>
          </a:xfrm>
          <a:prstGeom prst="rect">
            <a:avLst/>
          </a:prstGeom>
        </xdr:spPr>
      </xdr:pic>
    </xdr:grpSp>
    <xdr:clientData/>
  </xdr:twoCellAnchor>
  <xdr:twoCellAnchor>
    <xdr:from>
      <xdr:col>10</xdr:col>
      <xdr:colOff>180828</xdr:colOff>
      <xdr:row>4</xdr:row>
      <xdr:rowOff>142596</xdr:rowOff>
    </xdr:from>
    <xdr:to>
      <xdr:col>12</xdr:col>
      <xdr:colOff>197535</xdr:colOff>
      <xdr:row>6</xdr:row>
      <xdr:rowOff>0</xdr:rowOff>
    </xdr:to>
    <xdr:sp macro="" textlink="">
      <xdr:nvSpPr>
        <xdr:cNvPr id="137" name="TextBox 136">
          <a:extLst>
            <a:ext uri="{FF2B5EF4-FFF2-40B4-BE49-F238E27FC236}">
              <a16:creationId xmlns:a16="http://schemas.microsoft.com/office/drawing/2014/main" id="{A5E23202-4E6F-B234-F3C3-7C0A7FE78068}"/>
            </a:ext>
          </a:extLst>
        </xdr:cNvPr>
        <xdr:cNvSpPr txBox="1"/>
      </xdr:nvSpPr>
      <xdr:spPr>
        <a:xfrm>
          <a:off x="6289252" y="805205"/>
          <a:ext cx="1238392" cy="188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Avg</a:t>
          </a:r>
          <a:r>
            <a:rPr lang="en-US" sz="1100" b="1" baseline="0"/>
            <a:t> Order Value</a:t>
          </a:r>
          <a:endParaRPr lang="en-US" sz="1100" b="1"/>
        </a:p>
      </xdr:txBody>
    </xdr:sp>
    <xdr:clientData/>
  </xdr:twoCellAnchor>
  <xdr:twoCellAnchor>
    <xdr:from>
      <xdr:col>10</xdr:col>
      <xdr:colOff>1</xdr:colOff>
      <xdr:row>5</xdr:row>
      <xdr:rowOff>20708</xdr:rowOff>
    </xdr:from>
    <xdr:to>
      <xdr:col>10</xdr:col>
      <xdr:colOff>304928</xdr:colOff>
      <xdr:row>7</xdr:row>
      <xdr:rowOff>55545</xdr:rowOff>
    </xdr:to>
    <xdr:grpSp>
      <xdr:nvGrpSpPr>
        <xdr:cNvPr id="139" name="Group 138">
          <a:extLst>
            <a:ext uri="{FF2B5EF4-FFF2-40B4-BE49-F238E27FC236}">
              <a16:creationId xmlns:a16="http://schemas.microsoft.com/office/drawing/2014/main" id="{B6587486-7AB7-E317-D7EE-4FED2D4C7ECE}"/>
            </a:ext>
          </a:extLst>
        </xdr:cNvPr>
        <xdr:cNvGrpSpPr/>
      </xdr:nvGrpSpPr>
      <xdr:grpSpPr>
        <a:xfrm>
          <a:off x="6108425" y="848969"/>
          <a:ext cx="304927" cy="366141"/>
          <a:chOff x="12206495" y="2598669"/>
          <a:chExt cx="897856" cy="896112"/>
        </a:xfrm>
      </xdr:grpSpPr>
      <xdr:sp macro="" textlink="">
        <xdr:nvSpPr>
          <xdr:cNvPr id="131" name="Oval 130">
            <a:extLst>
              <a:ext uri="{FF2B5EF4-FFF2-40B4-BE49-F238E27FC236}">
                <a16:creationId xmlns:a16="http://schemas.microsoft.com/office/drawing/2014/main" id="{4DB9AF52-78F7-1680-2559-B1EA05FDE989}"/>
              </a:ext>
            </a:extLst>
          </xdr:cNvPr>
          <xdr:cNvSpPr/>
        </xdr:nvSpPr>
        <xdr:spPr>
          <a:xfrm>
            <a:off x="12206495" y="2598669"/>
            <a:ext cx="897856" cy="896112"/>
          </a:xfrm>
          <a:prstGeom prst="ellipse">
            <a:avLst/>
          </a:prstGeom>
          <a:solidFill>
            <a:srgbClr val="1343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38" name="Graphic 137" descr="Scales of justice with solid fill">
            <a:extLst>
              <a:ext uri="{FF2B5EF4-FFF2-40B4-BE49-F238E27FC236}">
                <a16:creationId xmlns:a16="http://schemas.microsoft.com/office/drawing/2014/main" id="{026A9711-41C1-400B-8055-954484694A0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361793" y="2733511"/>
            <a:ext cx="607667" cy="643723"/>
          </a:xfrm>
          <a:prstGeom prst="rect">
            <a:avLst/>
          </a:prstGeom>
        </xdr:spPr>
      </xdr:pic>
    </xdr:grpSp>
    <xdr:clientData/>
  </xdr:twoCellAnchor>
  <xdr:twoCellAnchor>
    <xdr:from>
      <xdr:col>10</xdr:col>
      <xdr:colOff>41414</xdr:colOff>
      <xdr:row>5</xdr:row>
      <xdr:rowOff>163309</xdr:rowOff>
    </xdr:from>
    <xdr:to>
      <xdr:col>11</xdr:col>
      <xdr:colOff>469073</xdr:colOff>
      <xdr:row>7</xdr:row>
      <xdr:rowOff>79653</xdr:rowOff>
    </xdr:to>
    <xdr:sp macro="" textlink="Avg_Order_Value">
      <xdr:nvSpPr>
        <xdr:cNvPr id="140" name="TextBox 139">
          <a:extLst>
            <a:ext uri="{FF2B5EF4-FFF2-40B4-BE49-F238E27FC236}">
              <a16:creationId xmlns:a16="http://schemas.microsoft.com/office/drawing/2014/main" id="{1D46701A-0692-A6E6-F1A7-1DFD52C8CBEC}"/>
            </a:ext>
          </a:extLst>
        </xdr:cNvPr>
        <xdr:cNvSpPr txBox="1"/>
      </xdr:nvSpPr>
      <xdr:spPr>
        <a:xfrm>
          <a:off x="6149838" y="991570"/>
          <a:ext cx="1038501" cy="247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BAFDB1-E242-4B9A-BAD6-0B8513F83ED5}" type="TxLink">
            <a:rPr lang="en-US" sz="1100" b="1" i="0" u="none" strike="noStrike">
              <a:solidFill>
                <a:srgbClr val="000000"/>
              </a:solidFill>
              <a:latin typeface="Arial"/>
              <a:cs typeface="Arial"/>
            </a:rPr>
            <a:pPr algn="ctr"/>
            <a:t> 182.28 </a:t>
          </a:fld>
          <a:endParaRPr lang="en-US" sz="1400"/>
        </a:p>
      </xdr:txBody>
    </xdr:sp>
    <xdr:clientData/>
  </xdr:twoCellAnchor>
  <xdr:twoCellAnchor editAs="oneCell">
    <xdr:from>
      <xdr:col>3</xdr:col>
      <xdr:colOff>488256</xdr:colOff>
      <xdr:row>2</xdr:row>
      <xdr:rowOff>47228</xdr:rowOff>
    </xdr:from>
    <xdr:to>
      <xdr:col>5</xdr:col>
      <xdr:colOff>370367</xdr:colOff>
      <xdr:row>4</xdr:row>
      <xdr:rowOff>73838</xdr:rowOff>
    </xdr:to>
    <xdr:pic>
      <xdr:nvPicPr>
        <xdr:cNvPr id="142" name="Picture 141">
          <a:extLst>
            <a:ext uri="{FF2B5EF4-FFF2-40B4-BE49-F238E27FC236}">
              <a16:creationId xmlns:a16="http://schemas.microsoft.com/office/drawing/2014/main" id="{E539A93C-1BDE-1C84-E688-C8C37E6CF24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320783" y="378532"/>
          <a:ext cx="1103796" cy="357915"/>
        </a:xfrm>
        <a:prstGeom prst="rect">
          <a:avLst/>
        </a:prstGeom>
      </xdr:spPr>
    </xdr:pic>
    <xdr:clientData/>
  </xdr:twoCellAnchor>
  <xdr:twoCellAnchor>
    <xdr:from>
      <xdr:col>3</xdr:col>
      <xdr:colOff>286717</xdr:colOff>
      <xdr:row>40</xdr:row>
      <xdr:rowOff>158474</xdr:rowOff>
    </xdr:from>
    <xdr:to>
      <xdr:col>5</xdr:col>
      <xdr:colOff>113885</xdr:colOff>
      <xdr:row>42</xdr:row>
      <xdr:rowOff>72474</xdr:rowOff>
    </xdr:to>
    <xdr:sp macro="" textlink="">
      <xdr:nvSpPr>
        <xdr:cNvPr id="143" name="TextBox 142">
          <a:extLst>
            <a:ext uri="{FF2B5EF4-FFF2-40B4-BE49-F238E27FC236}">
              <a16:creationId xmlns:a16="http://schemas.microsoft.com/office/drawing/2014/main" id="{E6A54C67-AB8C-ADE6-6E38-835CAFB74156}"/>
            </a:ext>
          </a:extLst>
        </xdr:cNvPr>
        <xdr:cNvSpPr txBox="1"/>
      </xdr:nvSpPr>
      <xdr:spPr>
        <a:xfrm>
          <a:off x="2119244" y="6784561"/>
          <a:ext cx="1048853" cy="245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CONCLUSION</a:t>
          </a:r>
        </a:p>
      </xdr:txBody>
    </xdr:sp>
    <xdr:clientData/>
  </xdr:twoCellAnchor>
  <xdr:twoCellAnchor>
    <xdr:from>
      <xdr:col>3</xdr:col>
      <xdr:colOff>331305</xdr:colOff>
      <xdr:row>42</xdr:row>
      <xdr:rowOff>57289</xdr:rowOff>
    </xdr:from>
    <xdr:to>
      <xdr:col>11</xdr:col>
      <xdr:colOff>334480</xdr:colOff>
      <xdr:row>43</xdr:row>
      <xdr:rowOff>162477</xdr:rowOff>
    </xdr:to>
    <xdr:sp macro="" textlink="">
      <xdr:nvSpPr>
        <xdr:cNvPr id="144" name="TextBox 143">
          <a:extLst>
            <a:ext uri="{FF2B5EF4-FFF2-40B4-BE49-F238E27FC236}">
              <a16:creationId xmlns:a16="http://schemas.microsoft.com/office/drawing/2014/main" id="{57994D6F-A6DD-6AAE-0CC6-8C017B42A2EC}"/>
            </a:ext>
          </a:extLst>
        </xdr:cNvPr>
        <xdr:cNvSpPr txBox="1"/>
      </xdr:nvSpPr>
      <xdr:spPr>
        <a:xfrm>
          <a:off x="2163832" y="7014680"/>
          <a:ext cx="4889914" cy="270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1. Profitability is in Acccelerating Decline - Urgent Intervention Required</a:t>
          </a:r>
        </a:p>
      </xdr:txBody>
    </xdr:sp>
    <xdr:clientData/>
  </xdr:twoCellAnchor>
  <xdr:twoCellAnchor>
    <xdr:from>
      <xdr:col>3</xdr:col>
      <xdr:colOff>334480</xdr:colOff>
      <xdr:row>43</xdr:row>
      <xdr:rowOff>109055</xdr:rowOff>
    </xdr:from>
    <xdr:to>
      <xdr:col>11</xdr:col>
      <xdr:colOff>331305</xdr:colOff>
      <xdr:row>45</xdr:row>
      <xdr:rowOff>45415</xdr:rowOff>
    </xdr:to>
    <xdr:sp macro="" textlink="">
      <xdr:nvSpPr>
        <xdr:cNvPr id="145" name="TextBox 144">
          <a:extLst>
            <a:ext uri="{FF2B5EF4-FFF2-40B4-BE49-F238E27FC236}">
              <a16:creationId xmlns:a16="http://schemas.microsoft.com/office/drawing/2014/main" id="{9FA7830A-DD45-6E3A-B463-66B73E30DE25}"/>
            </a:ext>
          </a:extLst>
        </xdr:cNvPr>
        <xdr:cNvSpPr txBox="1"/>
      </xdr:nvSpPr>
      <xdr:spPr>
        <a:xfrm>
          <a:off x="2167007" y="7232098"/>
          <a:ext cx="4883564" cy="26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2. Castle Lite and Budweiser Are the Profit Engine - Double Down on Them</a:t>
          </a:r>
        </a:p>
      </xdr:txBody>
    </xdr:sp>
    <xdr:clientData/>
  </xdr:twoCellAnchor>
  <xdr:twoCellAnchor>
    <xdr:from>
      <xdr:col>3</xdr:col>
      <xdr:colOff>331304</xdr:colOff>
      <xdr:row>44</xdr:row>
      <xdr:rowOff>163996</xdr:rowOff>
    </xdr:from>
    <xdr:to>
      <xdr:col>13</xdr:col>
      <xdr:colOff>362363</xdr:colOff>
      <xdr:row>46</xdr:row>
      <xdr:rowOff>106707</xdr:rowOff>
    </xdr:to>
    <xdr:sp macro="" textlink="">
      <xdr:nvSpPr>
        <xdr:cNvPr id="146" name="TextBox 145">
          <a:extLst>
            <a:ext uri="{FF2B5EF4-FFF2-40B4-BE49-F238E27FC236}">
              <a16:creationId xmlns:a16="http://schemas.microsoft.com/office/drawing/2014/main" id="{B240B150-9D27-81CD-A840-7D80EEE1FE1A}"/>
            </a:ext>
          </a:extLst>
        </xdr:cNvPr>
        <xdr:cNvSpPr txBox="1"/>
      </xdr:nvSpPr>
      <xdr:spPr>
        <a:xfrm>
          <a:off x="2163831" y="7452692"/>
          <a:ext cx="6139483" cy="27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3. Francophone Markets Are More Profitable and More Resilient - Expand Investment There</a:t>
          </a:r>
        </a:p>
      </xdr:txBody>
    </xdr:sp>
    <xdr:clientData/>
  </xdr:twoCellAnchor>
  <xdr:twoCellAnchor>
    <xdr:from>
      <xdr:col>3</xdr:col>
      <xdr:colOff>331304</xdr:colOff>
      <xdr:row>46</xdr:row>
      <xdr:rowOff>57289</xdr:rowOff>
    </xdr:from>
    <xdr:to>
      <xdr:col>14</xdr:col>
      <xdr:colOff>144946</xdr:colOff>
      <xdr:row>48</xdr:row>
      <xdr:rowOff>0</xdr:rowOff>
    </xdr:to>
    <xdr:sp macro="" textlink="">
      <xdr:nvSpPr>
        <xdr:cNvPr id="147" name="TextBox 146">
          <a:extLst>
            <a:ext uri="{FF2B5EF4-FFF2-40B4-BE49-F238E27FC236}">
              <a16:creationId xmlns:a16="http://schemas.microsoft.com/office/drawing/2014/main" id="{3024F5A1-F0CA-06AA-C3FC-894E30E1AC05}"/>
            </a:ext>
          </a:extLst>
        </xdr:cNvPr>
        <xdr:cNvSpPr txBox="1"/>
      </xdr:nvSpPr>
      <xdr:spPr>
        <a:xfrm>
          <a:off x="2163831" y="7677289"/>
          <a:ext cx="6532908" cy="27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4. Nigeria Has Collapsed from #1 to #5 in Profit - Requires a Dedicated Turnaround Plan </a:t>
          </a:r>
        </a:p>
      </xdr:txBody>
    </xdr:sp>
    <xdr:clientData/>
  </xdr:twoCellAnchor>
  <xdr:twoCellAnchor editAs="oneCell">
    <xdr:from>
      <xdr:col>1</xdr:col>
      <xdr:colOff>171174</xdr:colOff>
      <xdr:row>45</xdr:row>
      <xdr:rowOff>43758</xdr:rowOff>
    </xdr:from>
    <xdr:to>
      <xdr:col>3</xdr:col>
      <xdr:colOff>103533</xdr:colOff>
      <xdr:row>48</xdr:row>
      <xdr:rowOff>40513</xdr:rowOff>
    </xdr:to>
    <xdr:pic>
      <xdr:nvPicPr>
        <xdr:cNvPr id="151" name="Picture 150">
          <a:extLst>
            <a:ext uri="{FF2B5EF4-FFF2-40B4-BE49-F238E27FC236}">
              <a16:creationId xmlns:a16="http://schemas.microsoft.com/office/drawing/2014/main" id="{CC388605-40EE-21DA-56D8-C29882BDD2E4}"/>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t="36332" b="37835"/>
        <a:stretch>
          <a:fillRect/>
        </a:stretch>
      </xdr:blipFill>
      <xdr:spPr>
        <a:xfrm>
          <a:off x="782016" y="7498106"/>
          <a:ext cx="1154044" cy="493711"/>
        </a:xfrm>
        <a:prstGeom prst="rect">
          <a:avLst/>
        </a:prstGeom>
      </xdr:spPr>
    </xdr:pic>
    <xdr:clientData/>
  </xdr:twoCellAnchor>
  <xdr:twoCellAnchor>
    <xdr:from>
      <xdr:col>16</xdr:col>
      <xdr:colOff>569430</xdr:colOff>
      <xdr:row>2</xdr:row>
      <xdr:rowOff>76478</xdr:rowOff>
    </xdr:from>
    <xdr:to>
      <xdr:col>17</xdr:col>
      <xdr:colOff>9524</xdr:colOff>
      <xdr:row>48</xdr:row>
      <xdr:rowOff>93183</xdr:rowOff>
    </xdr:to>
    <xdr:sp macro="" textlink="">
      <xdr:nvSpPr>
        <xdr:cNvPr id="152" name="Rectangle: Rounded Corners 151">
          <a:extLst>
            <a:ext uri="{FF2B5EF4-FFF2-40B4-BE49-F238E27FC236}">
              <a16:creationId xmlns:a16="http://schemas.microsoft.com/office/drawing/2014/main" id="{821C08CC-D37C-F194-8CD4-E77F4979980F}"/>
            </a:ext>
          </a:extLst>
        </xdr:cNvPr>
        <xdr:cNvSpPr/>
      </xdr:nvSpPr>
      <xdr:spPr>
        <a:xfrm rot="5400000">
          <a:off x="6550024" y="4200666"/>
          <a:ext cx="7636705" cy="50937"/>
        </a:xfrm>
        <a:prstGeom prst="roundRect">
          <a:avLst>
            <a:gd name="adj" fmla="val 0"/>
          </a:avLst>
        </a:prstGeom>
        <a:solidFill>
          <a:srgbClr val="1343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9.530507754629" createdVersion="8" refreshedVersion="8" minRefreshableVersion="3" recordCount="1047" xr:uid="{8EDBD5AF-C7F2-4FF0-ADF5-98D427A52206}">
  <cacheSource type="worksheet">
    <worksheetSource name="Int_breweries"/>
  </cacheSource>
  <cacheFields count="16">
    <cacheField name="SALES_ID" numFmtId="0">
      <sharedItems containsSemiMixedTypes="0" containsString="0" containsNumber="1" containsInteger="1" minValue="10101" maxValue="11147"/>
    </cacheField>
    <cacheField name="SALES_REP" numFmtId="0">
      <sharedItems count="11">
        <s v="Jardine"/>
        <s v="Gill"/>
        <s v="Sorvino"/>
        <s v="Jones"/>
        <s v="Andrews"/>
        <s v="Thompson"/>
        <s v="Morgan"/>
        <s v="Howard"/>
        <s v="Parent"/>
        <s v="Smith"/>
        <s v="Kivell"/>
      </sharedItems>
    </cacheField>
    <cacheField name="EMAILS" numFmtId="0">
      <sharedItems/>
    </cacheField>
    <cacheField name="BRANDS" numFmtId="0">
      <sharedItems count="7">
        <s v="Trophy"/>
        <s v="Budweiser"/>
        <s v="Castle Lite"/>
        <s v="Eagle Lager"/>
        <s v="Hero"/>
        <s v="Beta Malt"/>
        <s v="Grand Malt"/>
      </sharedItems>
    </cacheField>
    <cacheField name="PLANT_COST" numFmtId="0">
      <sharedItems containsSemiMixedTypes="0" containsString="0" containsNumber="1" containsInteger="1" minValue="80" maxValue="250"/>
    </cacheField>
    <cacheField name="UNIT_PRICE" numFmtId="0">
      <sharedItems containsSemiMixedTypes="0" containsString="0" containsNumber="1" containsInteger="1" minValue="150" maxValue="500"/>
    </cacheField>
    <cacheField name="QUANTITY" numFmtId="0">
      <sharedItems containsSemiMixedTypes="0" containsString="0" containsNumber="1" containsInteger="1" minValue="700" maxValue="1000"/>
    </cacheField>
    <cacheField name="SELLING COST" numFmtId="0">
      <sharedItems containsSemiMixedTypes="0" containsString="0" containsNumber="1" containsInteger="1" minValue="56320" maxValue="249750"/>
    </cacheField>
    <cacheField name="REVENUE" numFmtId="0">
      <sharedItems containsSemiMixedTypes="0" containsString="0" containsNumber="1" containsInteger="1" minValue="105300" maxValue="499500"/>
    </cacheField>
    <cacheField name="PROFIT" numFmtId="0">
      <sharedItems containsSemiMixedTypes="0" containsString="0" containsNumber="1" containsInteger="1" minValue="35000" maxValue="269190"/>
    </cacheField>
    <cacheField name="COUNTRIES" numFmtId="0">
      <sharedItems count="5">
        <s v="Ghana"/>
        <s v="Nigeria"/>
        <s v="Togo"/>
        <s v="Benin"/>
        <s v="Senegal"/>
      </sharedItems>
    </cacheField>
    <cacheField name="REGION" numFmtId="0">
      <sharedItems count="6">
        <s v="Southeast"/>
        <s v="west"/>
        <s v="Southsouth"/>
        <s v="Northwest"/>
        <s v="Northeast"/>
        <s v="Northcentral"/>
      </sharedItems>
    </cacheField>
    <cacheField name="MONTHS" numFmtId="0">
      <sharedItems count="12">
        <s v="January"/>
        <s v="February"/>
        <s v="March"/>
        <s v="April"/>
        <s v="May"/>
        <s v="June"/>
        <s v="July"/>
        <s v="August"/>
        <s v="September"/>
        <s v="October"/>
        <s v="November"/>
        <s v="December"/>
      </sharedItems>
    </cacheField>
    <cacheField name="YEARS" numFmtId="0">
      <sharedItems containsSemiMixedTypes="0" containsString="0" containsNumber="1" containsInteger="1" minValue="2017" maxValue="2019" count="3">
        <n v="2019"/>
        <n v="2018"/>
        <n v="2017"/>
      </sharedItems>
    </cacheField>
    <cacheField name="TERRITORIES" numFmtId="0">
      <sharedItems count="2">
        <s v="Anglophone"/>
        <s v="Francophone"/>
      </sharedItems>
    </cacheField>
    <cacheField name="MONTHS_SHORT"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831708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n v="10101"/>
    <x v="0"/>
    <s v="jard@gmail.com"/>
    <x v="0"/>
    <n v="150"/>
    <n v="200"/>
    <n v="725"/>
    <n v="108750"/>
    <n v="145000"/>
    <n v="36250"/>
    <x v="0"/>
    <x v="0"/>
    <x v="0"/>
    <x v="0"/>
    <x v="0"/>
    <x v="0"/>
  </r>
  <r>
    <n v="10102"/>
    <x v="1"/>
    <s v="gillhell@uk.com"/>
    <x v="1"/>
    <n v="250"/>
    <n v="500"/>
    <n v="815"/>
    <n v="203750"/>
    <n v="407500"/>
    <n v="203750"/>
    <x v="1"/>
    <x v="1"/>
    <x v="1"/>
    <x v="1"/>
    <x v="0"/>
    <x v="1"/>
  </r>
  <r>
    <n v="10103"/>
    <x v="2"/>
    <s v="sorvi2000@gmail.com"/>
    <x v="2"/>
    <n v="180"/>
    <n v="450"/>
    <n v="937"/>
    <n v="168660"/>
    <n v="421650"/>
    <n v="252990"/>
    <x v="2"/>
    <x v="0"/>
    <x v="2"/>
    <x v="1"/>
    <x v="1"/>
    <x v="2"/>
  </r>
  <r>
    <n v="10104"/>
    <x v="3"/>
    <s v="jone.ai@yahoo.com"/>
    <x v="3"/>
    <n v="170"/>
    <n v="250"/>
    <n v="765"/>
    <n v="130050"/>
    <n v="191250"/>
    <n v="61200"/>
    <x v="3"/>
    <x v="1"/>
    <x v="3"/>
    <x v="1"/>
    <x v="1"/>
    <x v="3"/>
  </r>
  <r>
    <n v="10105"/>
    <x v="4"/>
    <s v="andy@gmail.com"/>
    <x v="4"/>
    <n v="150"/>
    <n v="200"/>
    <n v="836"/>
    <n v="125400"/>
    <n v="167200"/>
    <n v="41800"/>
    <x v="4"/>
    <x v="2"/>
    <x v="4"/>
    <x v="2"/>
    <x v="1"/>
    <x v="4"/>
  </r>
  <r>
    <n v="10106"/>
    <x v="0"/>
    <s v="jard@gmail.com"/>
    <x v="5"/>
    <n v="80"/>
    <n v="150"/>
    <n v="798"/>
    <n v="63840"/>
    <n v="119700"/>
    <n v="55860"/>
    <x v="0"/>
    <x v="3"/>
    <x v="5"/>
    <x v="0"/>
    <x v="0"/>
    <x v="5"/>
  </r>
  <r>
    <n v="10107"/>
    <x v="5"/>
    <s v="thomp@uk.com"/>
    <x v="6"/>
    <n v="90"/>
    <n v="150"/>
    <n v="954"/>
    <n v="85860"/>
    <n v="143100"/>
    <n v="57240"/>
    <x v="1"/>
    <x v="4"/>
    <x v="6"/>
    <x v="2"/>
    <x v="0"/>
    <x v="6"/>
  </r>
  <r>
    <n v="10108"/>
    <x v="3"/>
    <s v="jone.ai@yahoo.com"/>
    <x v="0"/>
    <n v="150"/>
    <n v="200"/>
    <n v="812"/>
    <n v="121800"/>
    <n v="162400"/>
    <n v="40600"/>
    <x v="2"/>
    <x v="5"/>
    <x v="7"/>
    <x v="1"/>
    <x v="1"/>
    <x v="7"/>
  </r>
  <r>
    <n v="10109"/>
    <x v="6"/>
    <s v="morganny@gmail.com"/>
    <x v="1"/>
    <n v="250"/>
    <n v="500"/>
    <n v="700"/>
    <n v="175000"/>
    <n v="350000"/>
    <n v="175000"/>
    <x v="3"/>
    <x v="0"/>
    <x v="8"/>
    <x v="0"/>
    <x v="1"/>
    <x v="8"/>
  </r>
  <r>
    <n v="10110"/>
    <x v="7"/>
    <s v="howard_freeman@yahoo.com"/>
    <x v="2"/>
    <n v="180"/>
    <n v="450"/>
    <n v="745"/>
    <n v="134100"/>
    <n v="335250"/>
    <n v="201150"/>
    <x v="4"/>
    <x v="1"/>
    <x v="9"/>
    <x v="2"/>
    <x v="1"/>
    <x v="9"/>
  </r>
  <r>
    <n v="10111"/>
    <x v="8"/>
    <s v="parentty@uk.com"/>
    <x v="3"/>
    <n v="170"/>
    <n v="250"/>
    <n v="861"/>
    <n v="146370"/>
    <n v="215250"/>
    <n v="68880"/>
    <x v="0"/>
    <x v="2"/>
    <x v="10"/>
    <x v="2"/>
    <x v="0"/>
    <x v="10"/>
  </r>
  <r>
    <n v="10112"/>
    <x v="3"/>
    <s v="jone.ai@yahoo.com"/>
    <x v="4"/>
    <n v="150"/>
    <n v="200"/>
    <n v="902"/>
    <n v="135300"/>
    <n v="180400"/>
    <n v="45100"/>
    <x v="1"/>
    <x v="3"/>
    <x v="11"/>
    <x v="0"/>
    <x v="0"/>
    <x v="11"/>
  </r>
  <r>
    <n v="10113"/>
    <x v="9"/>
    <s v="smithMan@yahoo.com"/>
    <x v="5"/>
    <n v="80"/>
    <n v="150"/>
    <n v="731"/>
    <n v="58480"/>
    <n v="109650"/>
    <n v="51170"/>
    <x v="2"/>
    <x v="4"/>
    <x v="0"/>
    <x v="1"/>
    <x v="1"/>
    <x v="0"/>
  </r>
  <r>
    <n v="10114"/>
    <x v="3"/>
    <s v="jone.ai@yahoo.com"/>
    <x v="6"/>
    <n v="90"/>
    <n v="150"/>
    <n v="843"/>
    <n v="75870"/>
    <n v="126450"/>
    <n v="50580"/>
    <x v="3"/>
    <x v="5"/>
    <x v="1"/>
    <x v="2"/>
    <x v="1"/>
    <x v="1"/>
  </r>
  <r>
    <n v="10115"/>
    <x v="6"/>
    <s v="morganny@gmail.com"/>
    <x v="0"/>
    <n v="150"/>
    <n v="200"/>
    <n v="939"/>
    <n v="140850"/>
    <n v="187800"/>
    <n v="46950"/>
    <x v="4"/>
    <x v="0"/>
    <x v="2"/>
    <x v="1"/>
    <x v="1"/>
    <x v="2"/>
  </r>
  <r>
    <n v="10116"/>
    <x v="3"/>
    <s v="jone.ai@yahoo.com"/>
    <x v="1"/>
    <n v="250"/>
    <n v="500"/>
    <n v="709"/>
    <n v="177250"/>
    <n v="354500"/>
    <n v="177250"/>
    <x v="0"/>
    <x v="1"/>
    <x v="3"/>
    <x v="0"/>
    <x v="0"/>
    <x v="3"/>
  </r>
  <r>
    <n v="10117"/>
    <x v="8"/>
    <s v="parentty@uk.com"/>
    <x v="2"/>
    <n v="180"/>
    <n v="450"/>
    <n v="837"/>
    <n v="150660"/>
    <n v="376650"/>
    <n v="225990"/>
    <x v="1"/>
    <x v="2"/>
    <x v="4"/>
    <x v="2"/>
    <x v="0"/>
    <x v="4"/>
  </r>
  <r>
    <n v="10118"/>
    <x v="10"/>
    <s v="kivel_go@yahoo.com"/>
    <x v="3"/>
    <n v="170"/>
    <n v="250"/>
    <n v="910"/>
    <n v="154700"/>
    <n v="227500"/>
    <n v="72800"/>
    <x v="2"/>
    <x v="3"/>
    <x v="5"/>
    <x v="1"/>
    <x v="1"/>
    <x v="5"/>
  </r>
  <r>
    <n v="10119"/>
    <x v="9"/>
    <s v="smithMan@yahoo.com"/>
    <x v="4"/>
    <n v="150"/>
    <n v="200"/>
    <n v="996"/>
    <n v="149400"/>
    <n v="199200"/>
    <n v="49800"/>
    <x v="3"/>
    <x v="4"/>
    <x v="6"/>
    <x v="0"/>
    <x v="1"/>
    <x v="6"/>
  </r>
  <r>
    <n v="10120"/>
    <x v="8"/>
    <s v="parentty@uk.com"/>
    <x v="5"/>
    <n v="80"/>
    <n v="150"/>
    <n v="731"/>
    <n v="58480"/>
    <n v="109650"/>
    <n v="51170"/>
    <x v="4"/>
    <x v="5"/>
    <x v="7"/>
    <x v="2"/>
    <x v="1"/>
    <x v="7"/>
  </r>
  <r>
    <n v="10121"/>
    <x v="1"/>
    <s v="gillhell@uk.com"/>
    <x v="6"/>
    <n v="90"/>
    <n v="150"/>
    <n v="898"/>
    <n v="80820"/>
    <n v="134700"/>
    <n v="53880"/>
    <x v="0"/>
    <x v="0"/>
    <x v="8"/>
    <x v="2"/>
    <x v="0"/>
    <x v="8"/>
  </r>
  <r>
    <n v="10122"/>
    <x v="9"/>
    <s v="smithMan@yahoo.com"/>
    <x v="0"/>
    <n v="150"/>
    <n v="200"/>
    <n v="860"/>
    <n v="129000"/>
    <n v="172000"/>
    <n v="43000"/>
    <x v="1"/>
    <x v="1"/>
    <x v="9"/>
    <x v="1"/>
    <x v="0"/>
    <x v="9"/>
  </r>
  <r>
    <n v="10123"/>
    <x v="3"/>
    <s v="jone.ai@yahoo.com"/>
    <x v="1"/>
    <n v="250"/>
    <n v="500"/>
    <n v="859"/>
    <n v="214750"/>
    <n v="429500"/>
    <n v="214750"/>
    <x v="2"/>
    <x v="2"/>
    <x v="10"/>
    <x v="2"/>
    <x v="1"/>
    <x v="10"/>
  </r>
  <r>
    <n v="10124"/>
    <x v="2"/>
    <s v="sorvi2000@gmail.com"/>
    <x v="2"/>
    <n v="180"/>
    <n v="450"/>
    <n v="857"/>
    <n v="154260"/>
    <n v="385650"/>
    <n v="231390"/>
    <x v="3"/>
    <x v="3"/>
    <x v="11"/>
    <x v="2"/>
    <x v="1"/>
    <x v="11"/>
  </r>
  <r>
    <n v="10125"/>
    <x v="0"/>
    <s v="jard@gmail.com"/>
    <x v="3"/>
    <n v="170"/>
    <n v="250"/>
    <n v="715"/>
    <n v="121550"/>
    <n v="178750"/>
    <n v="57200"/>
    <x v="4"/>
    <x v="4"/>
    <x v="0"/>
    <x v="1"/>
    <x v="1"/>
    <x v="0"/>
  </r>
  <r>
    <n v="10126"/>
    <x v="4"/>
    <s v="andy@gmail.com"/>
    <x v="4"/>
    <n v="150"/>
    <n v="200"/>
    <n v="999"/>
    <n v="149850"/>
    <n v="199800"/>
    <n v="49950"/>
    <x v="0"/>
    <x v="5"/>
    <x v="1"/>
    <x v="1"/>
    <x v="0"/>
    <x v="1"/>
  </r>
  <r>
    <n v="10127"/>
    <x v="7"/>
    <s v="howard_freeman@yahoo.com"/>
    <x v="5"/>
    <n v="80"/>
    <n v="150"/>
    <n v="982"/>
    <n v="78560"/>
    <n v="147300"/>
    <n v="68740"/>
    <x v="1"/>
    <x v="0"/>
    <x v="2"/>
    <x v="2"/>
    <x v="0"/>
    <x v="2"/>
  </r>
  <r>
    <n v="10128"/>
    <x v="1"/>
    <s v="gillhell@uk.com"/>
    <x v="6"/>
    <n v="90"/>
    <n v="150"/>
    <n v="920"/>
    <n v="82800"/>
    <n v="138000"/>
    <n v="55200"/>
    <x v="2"/>
    <x v="1"/>
    <x v="3"/>
    <x v="1"/>
    <x v="1"/>
    <x v="3"/>
  </r>
  <r>
    <n v="10129"/>
    <x v="1"/>
    <s v="gillhell@uk.com"/>
    <x v="0"/>
    <n v="150"/>
    <n v="200"/>
    <n v="875"/>
    <n v="131250"/>
    <n v="175000"/>
    <n v="43750"/>
    <x v="3"/>
    <x v="2"/>
    <x v="4"/>
    <x v="2"/>
    <x v="1"/>
    <x v="4"/>
  </r>
  <r>
    <n v="10130"/>
    <x v="10"/>
    <s v="kivel_go@yahoo.com"/>
    <x v="1"/>
    <n v="250"/>
    <n v="500"/>
    <n v="945"/>
    <n v="236250"/>
    <n v="472500"/>
    <n v="236250"/>
    <x v="4"/>
    <x v="3"/>
    <x v="5"/>
    <x v="0"/>
    <x v="1"/>
    <x v="5"/>
  </r>
  <r>
    <n v="10131"/>
    <x v="3"/>
    <s v="jone.ai@yahoo.com"/>
    <x v="2"/>
    <n v="180"/>
    <n v="450"/>
    <n v="794"/>
    <n v="142920"/>
    <n v="357300"/>
    <n v="214380"/>
    <x v="0"/>
    <x v="4"/>
    <x v="6"/>
    <x v="0"/>
    <x v="0"/>
    <x v="6"/>
  </r>
  <r>
    <n v="10132"/>
    <x v="6"/>
    <s v="morganny@gmail.com"/>
    <x v="3"/>
    <n v="170"/>
    <n v="250"/>
    <n v="826"/>
    <n v="140420"/>
    <n v="206500"/>
    <n v="66080"/>
    <x v="1"/>
    <x v="5"/>
    <x v="7"/>
    <x v="2"/>
    <x v="0"/>
    <x v="7"/>
  </r>
  <r>
    <n v="10133"/>
    <x v="10"/>
    <s v="kivel_go@yahoo.com"/>
    <x v="4"/>
    <n v="150"/>
    <n v="200"/>
    <n v="1000"/>
    <n v="150000"/>
    <n v="200000"/>
    <n v="50000"/>
    <x v="2"/>
    <x v="0"/>
    <x v="8"/>
    <x v="0"/>
    <x v="1"/>
    <x v="8"/>
  </r>
  <r>
    <n v="10134"/>
    <x v="2"/>
    <s v="sorvi2000@gmail.com"/>
    <x v="5"/>
    <n v="80"/>
    <n v="150"/>
    <n v="804"/>
    <n v="64320"/>
    <n v="120600"/>
    <n v="56280"/>
    <x v="3"/>
    <x v="1"/>
    <x v="9"/>
    <x v="1"/>
    <x v="1"/>
    <x v="9"/>
  </r>
  <r>
    <n v="10135"/>
    <x v="1"/>
    <s v="gillhell@uk.com"/>
    <x v="6"/>
    <n v="90"/>
    <n v="150"/>
    <n v="890"/>
    <n v="80100"/>
    <n v="133500"/>
    <n v="53400"/>
    <x v="4"/>
    <x v="2"/>
    <x v="10"/>
    <x v="2"/>
    <x v="1"/>
    <x v="10"/>
  </r>
  <r>
    <n v="10136"/>
    <x v="2"/>
    <s v="sorvi2000@gmail.com"/>
    <x v="0"/>
    <n v="150"/>
    <n v="200"/>
    <n v="870"/>
    <n v="130500"/>
    <n v="174000"/>
    <n v="43500"/>
    <x v="0"/>
    <x v="3"/>
    <x v="11"/>
    <x v="2"/>
    <x v="0"/>
    <x v="11"/>
  </r>
  <r>
    <n v="10137"/>
    <x v="5"/>
    <s v="thomp@uk.com"/>
    <x v="1"/>
    <n v="250"/>
    <n v="500"/>
    <n v="821"/>
    <n v="205250"/>
    <n v="410500"/>
    <n v="205250"/>
    <x v="1"/>
    <x v="4"/>
    <x v="0"/>
    <x v="2"/>
    <x v="0"/>
    <x v="0"/>
  </r>
  <r>
    <n v="10138"/>
    <x v="4"/>
    <s v="andy@gmail.com"/>
    <x v="2"/>
    <n v="180"/>
    <n v="450"/>
    <n v="950"/>
    <n v="171000"/>
    <n v="427500"/>
    <n v="256500"/>
    <x v="2"/>
    <x v="5"/>
    <x v="1"/>
    <x v="1"/>
    <x v="1"/>
    <x v="1"/>
  </r>
  <r>
    <n v="10139"/>
    <x v="0"/>
    <s v="jard@gmail.com"/>
    <x v="3"/>
    <n v="170"/>
    <n v="250"/>
    <n v="784"/>
    <n v="133280"/>
    <n v="196000"/>
    <n v="62720"/>
    <x v="3"/>
    <x v="0"/>
    <x v="2"/>
    <x v="0"/>
    <x v="1"/>
    <x v="2"/>
  </r>
  <r>
    <n v="10140"/>
    <x v="0"/>
    <s v="jard@gmail.com"/>
    <x v="4"/>
    <n v="150"/>
    <n v="200"/>
    <n v="999"/>
    <n v="149850"/>
    <n v="199800"/>
    <n v="49950"/>
    <x v="4"/>
    <x v="1"/>
    <x v="3"/>
    <x v="0"/>
    <x v="1"/>
    <x v="3"/>
  </r>
  <r>
    <n v="10141"/>
    <x v="4"/>
    <s v="andy@gmail.com"/>
    <x v="5"/>
    <n v="80"/>
    <n v="150"/>
    <n v="894"/>
    <n v="71520"/>
    <n v="134100"/>
    <n v="62580"/>
    <x v="0"/>
    <x v="2"/>
    <x v="4"/>
    <x v="0"/>
    <x v="0"/>
    <x v="4"/>
  </r>
  <r>
    <n v="10142"/>
    <x v="0"/>
    <s v="jard@gmail.com"/>
    <x v="6"/>
    <n v="90"/>
    <n v="150"/>
    <n v="827"/>
    <n v="74430"/>
    <n v="124050"/>
    <n v="49620"/>
    <x v="1"/>
    <x v="3"/>
    <x v="5"/>
    <x v="2"/>
    <x v="0"/>
    <x v="5"/>
  </r>
  <r>
    <n v="10143"/>
    <x v="1"/>
    <s v="gillhell@uk.com"/>
    <x v="0"/>
    <n v="150"/>
    <n v="200"/>
    <n v="779"/>
    <n v="116850"/>
    <n v="155800"/>
    <n v="38950"/>
    <x v="2"/>
    <x v="4"/>
    <x v="6"/>
    <x v="1"/>
    <x v="1"/>
    <x v="6"/>
  </r>
  <r>
    <n v="10144"/>
    <x v="2"/>
    <s v="sorvi2000@gmail.com"/>
    <x v="1"/>
    <n v="250"/>
    <n v="500"/>
    <n v="835"/>
    <n v="208750"/>
    <n v="417500"/>
    <n v="208750"/>
    <x v="3"/>
    <x v="5"/>
    <x v="7"/>
    <x v="2"/>
    <x v="1"/>
    <x v="7"/>
  </r>
  <r>
    <n v="10145"/>
    <x v="3"/>
    <s v="jone.ai@yahoo.com"/>
    <x v="2"/>
    <n v="180"/>
    <n v="450"/>
    <n v="801"/>
    <n v="144180"/>
    <n v="360450"/>
    <n v="216270"/>
    <x v="4"/>
    <x v="0"/>
    <x v="8"/>
    <x v="1"/>
    <x v="1"/>
    <x v="8"/>
  </r>
  <r>
    <n v="10146"/>
    <x v="4"/>
    <s v="andy@gmail.com"/>
    <x v="3"/>
    <n v="170"/>
    <n v="250"/>
    <n v="710"/>
    <n v="120700"/>
    <n v="177500"/>
    <n v="56800"/>
    <x v="0"/>
    <x v="1"/>
    <x v="9"/>
    <x v="2"/>
    <x v="0"/>
    <x v="9"/>
  </r>
  <r>
    <n v="10147"/>
    <x v="0"/>
    <s v="jard@gmail.com"/>
    <x v="4"/>
    <n v="150"/>
    <n v="200"/>
    <n v="952"/>
    <n v="142800"/>
    <n v="190400"/>
    <n v="47600"/>
    <x v="1"/>
    <x v="2"/>
    <x v="10"/>
    <x v="2"/>
    <x v="0"/>
    <x v="10"/>
  </r>
  <r>
    <n v="10148"/>
    <x v="5"/>
    <s v="thomp@uk.com"/>
    <x v="5"/>
    <n v="80"/>
    <n v="150"/>
    <n v="891"/>
    <n v="71280"/>
    <n v="133650"/>
    <n v="62370"/>
    <x v="2"/>
    <x v="3"/>
    <x v="11"/>
    <x v="2"/>
    <x v="1"/>
    <x v="11"/>
  </r>
  <r>
    <n v="10149"/>
    <x v="3"/>
    <s v="jone.ai@yahoo.com"/>
    <x v="6"/>
    <n v="90"/>
    <n v="150"/>
    <n v="781"/>
    <n v="70290"/>
    <n v="117150"/>
    <n v="46860"/>
    <x v="3"/>
    <x v="4"/>
    <x v="0"/>
    <x v="1"/>
    <x v="1"/>
    <x v="0"/>
  </r>
  <r>
    <n v="10150"/>
    <x v="6"/>
    <s v="morganny@gmail.com"/>
    <x v="0"/>
    <n v="150"/>
    <n v="200"/>
    <n v="845"/>
    <n v="126750"/>
    <n v="169000"/>
    <n v="42250"/>
    <x v="4"/>
    <x v="5"/>
    <x v="1"/>
    <x v="0"/>
    <x v="1"/>
    <x v="1"/>
  </r>
  <r>
    <n v="10151"/>
    <x v="7"/>
    <s v="howard_freeman@yahoo.com"/>
    <x v="1"/>
    <n v="250"/>
    <n v="500"/>
    <n v="719"/>
    <n v="179750"/>
    <n v="359500"/>
    <n v="179750"/>
    <x v="0"/>
    <x v="0"/>
    <x v="2"/>
    <x v="1"/>
    <x v="0"/>
    <x v="2"/>
  </r>
  <r>
    <n v="10152"/>
    <x v="8"/>
    <s v="parentty@uk.com"/>
    <x v="2"/>
    <n v="180"/>
    <n v="450"/>
    <n v="878"/>
    <n v="158040"/>
    <n v="395100"/>
    <n v="237060"/>
    <x v="1"/>
    <x v="1"/>
    <x v="3"/>
    <x v="0"/>
    <x v="0"/>
    <x v="3"/>
  </r>
  <r>
    <n v="10153"/>
    <x v="3"/>
    <s v="jone.ai@yahoo.com"/>
    <x v="3"/>
    <n v="170"/>
    <n v="250"/>
    <n v="832"/>
    <n v="141440"/>
    <n v="208000"/>
    <n v="66560"/>
    <x v="2"/>
    <x v="2"/>
    <x v="4"/>
    <x v="1"/>
    <x v="1"/>
    <x v="4"/>
  </r>
  <r>
    <n v="10154"/>
    <x v="9"/>
    <s v="smithMan@yahoo.com"/>
    <x v="4"/>
    <n v="150"/>
    <n v="200"/>
    <n v="766"/>
    <n v="114900"/>
    <n v="153200"/>
    <n v="38300"/>
    <x v="3"/>
    <x v="3"/>
    <x v="5"/>
    <x v="2"/>
    <x v="1"/>
    <x v="5"/>
  </r>
  <r>
    <n v="10155"/>
    <x v="3"/>
    <s v="jone.ai@yahoo.com"/>
    <x v="5"/>
    <n v="80"/>
    <n v="150"/>
    <n v="726"/>
    <n v="58080"/>
    <n v="108900"/>
    <n v="50820"/>
    <x v="4"/>
    <x v="4"/>
    <x v="6"/>
    <x v="1"/>
    <x v="1"/>
    <x v="6"/>
  </r>
  <r>
    <n v="10156"/>
    <x v="6"/>
    <s v="morganny@gmail.com"/>
    <x v="6"/>
    <n v="90"/>
    <n v="150"/>
    <n v="962"/>
    <n v="86580"/>
    <n v="144300"/>
    <n v="57720"/>
    <x v="0"/>
    <x v="5"/>
    <x v="7"/>
    <x v="2"/>
    <x v="0"/>
    <x v="7"/>
  </r>
  <r>
    <n v="10157"/>
    <x v="3"/>
    <s v="jone.ai@yahoo.com"/>
    <x v="0"/>
    <n v="150"/>
    <n v="200"/>
    <n v="920"/>
    <n v="138000"/>
    <n v="184000"/>
    <n v="46000"/>
    <x v="1"/>
    <x v="0"/>
    <x v="8"/>
    <x v="1"/>
    <x v="0"/>
    <x v="8"/>
  </r>
  <r>
    <n v="10158"/>
    <x v="8"/>
    <s v="parentty@uk.com"/>
    <x v="1"/>
    <n v="250"/>
    <n v="500"/>
    <n v="776"/>
    <n v="194000"/>
    <n v="388000"/>
    <n v="194000"/>
    <x v="2"/>
    <x v="1"/>
    <x v="9"/>
    <x v="2"/>
    <x v="1"/>
    <x v="9"/>
  </r>
  <r>
    <n v="10159"/>
    <x v="10"/>
    <s v="kivel_go@yahoo.com"/>
    <x v="2"/>
    <n v="180"/>
    <n v="450"/>
    <n v="872"/>
    <n v="156960"/>
    <n v="392400"/>
    <n v="235440"/>
    <x v="3"/>
    <x v="2"/>
    <x v="10"/>
    <x v="1"/>
    <x v="1"/>
    <x v="10"/>
  </r>
  <r>
    <n v="10160"/>
    <x v="9"/>
    <s v="smithMan@yahoo.com"/>
    <x v="3"/>
    <n v="170"/>
    <n v="250"/>
    <n v="831"/>
    <n v="141270"/>
    <n v="207750"/>
    <n v="66480"/>
    <x v="4"/>
    <x v="3"/>
    <x v="11"/>
    <x v="2"/>
    <x v="1"/>
    <x v="11"/>
  </r>
  <r>
    <n v="10161"/>
    <x v="8"/>
    <s v="parentty@uk.com"/>
    <x v="4"/>
    <n v="150"/>
    <n v="200"/>
    <n v="847"/>
    <n v="127050"/>
    <n v="169400"/>
    <n v="42350"/>
    <x v="0"/>
    <x v="4"/>
    <x v="0"/>
    <x v="0"/>
    <x v="0"/>
    <x v="0"/>
  </r>
  <r>
    <n v="10162"/>
    <x v="1"/>
    <s v="gillhell@uk.com"/>
    <x v="5"/>
    <n v="80"/>
    <n v="150"/>
    <n v="931"/>
    <n v="74480"/>
    <n v="139650"/>
    <n v="65170"/>
    <x v="1"/>
    <x v="5"/>
    <x v="1"/>
    <x v="1"/>
    <x v="0"/>
    <x v="1"/>
  </r>
  <r>
    <n v="10163"/>
    <x v="9"/>
    <s v="smithMan@yahoo.com"/>
    <x v="6"/>
    <n v="90"/>
    <n v="150"/>
    <n v="768"/>
    <n v="69120"/>
    <n v="115200"/>
    <n v="46080"/>
    <x v="2"/>
    <x v="0"/>
    <x v="2"/>
    <x v="2"/>
    <x v="1"/>
    <x v="2"/>
  </r>
  <r>
    <n v="10164"/>
    <x v="3"/>
    <s v="jone.ai@yahoo.com"/>
    <x v="0"/>
    <n v="150"/>
    <n v="200"/>
    <n v="736"/>
    <n v="110400"/>
    <n v="147200"/>
    <n v="36800"/>
    <x v="3"/>
    <x v="1"/>
    <x v="3"/>
    <x v="2"/>
    <x v="1"/>
    <x v="3"/>
  </r>
  <r>
    <n v="10165"/>
    <x v="2"/>
    <s v="sorvi2000@gmail.com"/>
    <x v="1"/>
    <n v="250"/>
    <n v="500"/>
    <n v="780"/>
    <n v="195000"/>
    <n v="390000"/>
    <n v="195000"/>
    <x v="4"/>
    <x v="2"/>
    <x v="4"/>
    <x v="0"/>
    <x v="1"/>
    <x v="4"/>
  </r>
  <r>
    <n v="10166"/>
    <x v="0"/>
    <s v="jard@gmail.com"/>
    <x v="2"/>
    <n v="180"/>
    <n v="450"/>
    <n v="918"/>
    <n v="165240"/>
    <n v="413100"/>
    <n v="247860"/>
    <x v="0"/>
    <x v="3"/>
    <x v="5"/>
    <x v="2"/>
    <x v="0"/>
    <x v="5"/>
  </r>
  <r>
    <n v="10167"/>
    <x v="4"/>
    <s v="andy@gmail.com"/>
    <x v="3"/>
    <n v="170"/>
    <n v="250"/>
    <n v="769"/>
    <n v="130730"/>
    <n v="192250"/>
    <n v="61520"/>
    <x v="1"/>
    <x v="4"/>
    <x v="6"/>
    <x v="0"/>
    <x v="0"/>
    <x v="6"/>
  </r>
  <r>
    <n v="10168"/>
    <x v="7"/>
    <s v="howard_freeman@yahoo.com"/>
    <x v="4"/>
    <n v="150"/>
    <n v="200"/>
    <n v="712"/>
    <n v="106800"/>
    <n v="142400"/>
    <n v="35600"/>
    <x v="2"/>
    <x v="5"/>
    <x v="7"/>
    <x v="0"/>
    <x v="1"/>
    <x v="7"/>
  </r>
  <r>
    <n v="10169"/>
    <x v="1"/>
    <s v="gillhell@uk.com"/>
    <x v="5"/>
    <n v="80"/>
    <n v="150"/>
    <n v="768"/>
    <n v="61440"/>
    <n v="115200"/>
    <n v="53760"/>
    <x v="3"/>
    <x v="0"/>
    <x v="8"/>
    <x v="2"/>
    <x v="1"/>
    <x v="8"/>
  </r>
  <r>
    <n v="10170"/>
    <x v="1"/>
    <s v="gillhell@uk.com"/>
    <x v="6"/>
    <n v="90"/>
    <n v="150"/>
    <n v="940"/>
    <n v="84600"/>
    <n v="141000"/>
    <n v="56400"/>
    <x v="4"/>
    <x v="1"/>
    <x v="9"/>
    <x v="1"/>
    <x v="1"/>
    <x v="9"/>
  </r>
  <r>
    <n v="10171"/>
    <x v="10"/>
    <s v="kivel_go@yahoo.com"/>
    <x v="0"/>
    <n v="150"/>
    <n v="200"/>
    <n v="948"/>
    <n v="142200"/>
    <n v="189600"/>
    <n v="47400"/>
    <x v="0"/>
    <x v="2"/>
    <x v="10"/>
    <x v="1"/>
    <x v="0"/>
    <x v="10"/>
  </r>
  <r>
    <n v="10172"/>
    <x v="3"/>
    <s v="jone.ai@yahoo.com"/>
    <x v="1"/>
    <n v="250"/>
    <n v="500"/>
    <n v="869"/>
    <n v="217250"/>
    <n v="434500"/>
    <n v="217250"/>
    <x v="1"/>
    <x v="3"/>
    <x v="11"/>
    <x v="1"/>
    <x v="0"/>
    <x v="11"/>
  </r>
  <r>
    <n v="10173"/>
    <x v="6"/>
    <s v="morganny@gmail.com"/>
    <x v="2"/>
    <n v="180"/>
    <n v="450"/>
    <n v="727"/>
    <n v="130860"/>
    <n v="327150"/>
    <n v="196290"/>
    <x v="2"/>
    <x v="4"/>
    <x v="0"/>
    <x v="0"/>
    <x v="1"/>
    <x v="0"/>
  </r>
  <r>
    <n v="10174"/>
    <x v="10"/>
    <s v="kivel_go@yahoo.com"/>
    <x v="3"/>
    <n v="170"/>
    <n v="250"/>
    <n v="833"/>
    <n v="141610"/>
    <n v="208250"/>
    <n v="66640"/>
    <x v="3"/>
    <x v="5"/>
    <x v="1"/>
    <x v="1"/>
    <x v="1"/>
    <x v="1"/>
  </r>
  <r>
    <n v="10175"/>
    <x v="2"/>
    <s v="sorvi2000@gmail.com"/>
    <x v="4"/>
    <n v="150"/>
    <n v="200"/>
    <n v="974"/>
    <n v="146100"/>
    <n v="194800"/>
    <n v="48700"/>
    <x v="4"/>
    <x v="0"/>
    <x v="2"/>
    <x v="1"/>
    <x v="1"/>
    <x v="2"/>
  </r>
  <r>
    <n v="10176"/>
    <x v="1"/>
    <s v="gillhell@uk.com"/>
    <x v="5"/>
    <n v="80"/>
    <n v="150"/>
    <n v="713"/>
    <n v="57040"/>
    <n v="106950"/>
    <n v="49910"/>
    <x v="0"/>
    <x v="1"/>
    <x v="3"/>
    <x v="2"/>
    <x v="0"/>
    <x v="3"/>
  </r>
  <r>
    <n v="10177"/>
    <x v="2"/>
    <s v="sorvi2000@gmail.com"/>
    <x v="6"/>
    <n v="90"/>
    <n v="150"/>
    <n v="729"/>
    <n v="65610"/>
    <n v="109350"/>
    <n v="43740"/>
    <x v="1"/>
    <x v="2"/>
    <x v="4"/>
    <x v="2"/>
    <x v="0"/>
    <x v="4"/>
  </r>
  <r>
    <n v="10178"/>
    <x v="5"/>
    <s v="thomp@uk.com"/>
    <x v="0"/>
    <n v="150"/>
    <n v="200"/>
    <n v="946"/>
    <n v="141900"/>
    <n v="189200"/>
    <n v="47300"/>
    <x v="2"/>
    <x v="3"/>
    <x v="5"/>
    <x v="0"/>
    <x v="1"/>
    <x v="5"/>
  </r>
  <r>
    <n v="10179"/>
    <x v="4"/>
    <s v="andy@gmail.com"/>
    <x v="1"/>
    <n v="250"/>
    <n v="500"/>
    <n v="739"/>
    <n v="184750"/>
    <n v="369500"/>
    <n v="184750"/>
    <x v="3"/>
    <x v="4"/>
    <x v="6"/>
    <x v="2"/>
    <x v="1"/>
    <x v="6"/>
  </r>
  <r>
    <n v="10180"/>
    <x v="0"/>
    <s v="jard@gmail.com"/>
    <x v="2"/>
    <n v="180"/>
    <n v="450"/>
    <n v="795"/>
    <n v="143100"/>
    <n v="357750"/>
    <n v="214650"/>
    <x v="4"/>
    <x v="5"/>
    <x v="7"/>
    <x v="0"/>
    <x v="1"/>
    <x v="7"/>
  </r>
  <r>
    <n v="10181"/>
    <x v="0"/>
    <s v="jard@gmail.com"/>
    <x v="3"/>
    <n v="170"/>
    <n v="250"/>
    <n v="701"/>
    <n v="119170"/>
    <n v="175250"/>
    <n v="56080"/>
    <x v="0"/>
    <x v="0"/>
    <x v="8"/>
    <x v="1"/>
    <x v="0"/>
    <x v="8"/>
  </r>
  <r>
    <n v="10182"/>
    <x v="4"/>
    <s v="andy@gmail.com"/>
    <x v="4"/>
    <n v="150"/>
    <n v="200"/>
    <n v="773"/>
    <n v="115950"/>
    <n v="154600"/>
    <n v="38650"/>
    <x v="1"/>
    <x v="1"/>
    <x v="9"/>
    <x v="0"/>
    <x v="0"/>
    <x v="9"/>
  </r>
  <r>
    <n v="10183"/>
    <x v="3"/>
    <s v="jone.ai@yahoo.com"/>
    <x v="5"/>
    <n v="80"/>
    <n v="150"/>
    <n v="801"/>
    <n v="64080"/>
    <n v="120150"/>
    <n v="56070"/>
    <x v="2"/>
    <x v="2"/>
    <x v="10"/>
    <x v="1"/>
    <x v="1"/>
    <x v="10"/>
  </r>
  <r>
    <n v="10184"/>
    <x v="6"/>
    <s v="morganny@gmail.com"/>
    <x v="6"/>
    <n v="90"/>
    <n v="150"/>
    <n v="892"/>
    <n v="80280"/>
    <n v="133800"/>
    <n v="53520"/>
    <x v="3"/>
    <x v="3"/>
    <x v="11"/>
    <x v="2"/>
    <x v="1"/>
    <x v="11"/>
  </r>
  <r>
    <n v="10185"/>
    <x v="10"/>
    <s v="kivel_go@yahoo.com"/>
    <x v="0"/>
    <n v="150"/>
    <n v="200"/>
    <n v="739"/>
    <n v="110850"/>
    <n v="147800"/>
    <n v="36950"/>
    <x v="4"/>
    <x v="4"/>
    <x v="0"/>
    <x v="1"/>
    <x v="1"/>
    <x v="0"/>
  </r>
  <r>
    <n v="10186"/>
    <x v="2"/>
    <s v="sorvi2000@gmail.com"/>
    <x v="1"/>
    <n v="250"/>
    <n v="500"/>
    <n v="704"/>
    <n v="176000"/>
    <n v="352000"/>
    <n v="176000"/>
    <x v="0"/>
    <x v="5"/>
    <x v="1"/>
    <x v="1"/>
    <x v="0"/>
    <x v="1"/>
  </r>
  <r>
    <n v="10187"/>
    <x v="1"/>
    <s v="gillhell@uk.com"/>
    <x v="2"/>
    <n v="180"/>
    <n v="450"/>
    <n v="879"/>
    <n v="158220"/>
    <n v="395550"/>
    <n v="237330"/>
    <x v="1"/>
    <x v="0"/>
    <x v="2"/>
    <x v="1"/>
    <x v="0"/>
    <x v="2"/>
  </r>
  <r>
    <n v="10188"/>
    <x v="2"/>
    <s v="sorvi2000@gmail.com"/>
    <x v="3"/>
    <n v="170"/>
    <n v="250"/>
    <n v="993"/>
    <n v="168810"/>
    <n v="248250"/>
    <n v="79440"/>
    <x v="2"/>
    <x v="1"/>
    <x v="3"/>
    <x v="2"/>
    <x v="1"/>
    <x v="3"/>
  </r>
  <r>
    <n v="10189"/>
    <x v="5"/>
    <s v="thomp@uk.com"/>
    <x v="4"/>
    <n v="150"/>
    <n v="200"/>
    <n v="820"/>
    <n v="123000"/>
    <n v="164000"/>
    <n v="41000"/>
    <x v="3"/>
    <x v="2"/>
    <x v="4"/>
    <x v="1"/>
    <x v="1"/>
    <x v="4"/>
  </r>
  <r>
    <n v="10190"/>
    <x v="4"/>
    <s v="andy@gmail.com"/>
    <x v="5"/>
    <n v="80"/>
    <n v="150"/>
    <n v="869"/>
    <n v="69520"/>
    <n v="130350"/>
    <n v="60830"/>
    <x v="4"/>
    <x v="3"/>
    <x v="5"/>
    <x v="1"/>
    <x v="1"/>
    <x v="5"/>
  </r>
  <r>
    <n v="10191"/>
    <x v="0"/>
    <s v="jard@gmail.com"/>
    <x v="6"/>
    <n v="90"/>
    <n v="150"/>
    <n v="902"/>
    <n v="81180"/>
    <n v="135300"/>
    <n v="54120"/>
    <x v="0"/>
    <x v="4"/>
    <x v="6"/>
    <x v="0"/>
    <x v="0"/>
    <x v="6"/>
  </r>
  <r>
    <n v="10192"/>
    <x v="0"/>
    <s v="jard@gmail.com"/>
    <x v="0"/>
    <n v="150"/>
    <n v="200"/>
    <n v="981"/>
    <n v="147150"/>
    <n v="196200"/>
    <n v="49050"/>
    <x v="1"/>
    <x v="5"/>
    <x v="7"/>
    <x v="0"/>
    <x v="0"/>
    <x v="7"/>
  </r>
  <r>
    <n v="10193"/>
    <x v="4"/>
    <s v="andy@gmail.com"/>
    <x v="1"/>
    <n v="250"/>
    <n v="500"/>
    <n v="722"/>
    <n v="180500"/>
    <n v="361000"/>
    <n v="180500"/>
    <x v="2"/>
    <x v="0"/>
    <x v="8"/>
    <x v="2"/>
    <x v="1"/>
    <x v="8"/>
  </r>
  <r>
    <n v="10194"/>
    <x v="0"/>
    <s v="jard@gmail.com"/>
    <x v="2"/>
    <n v="180"/>
    <n v="450"/>
    <n v="849"/>
    <n v="152820"/>
    <n v="382050"/>
    <n v="229230"/>
    <x v="3"/>
    <x v="1"/>
    <x v="9"/>
    <x v="2"/>
    <x v="1"/>
    <x v="9"/>
  </r>
  <r>
    <n v="10195"/>
    <x v="1"/>
    <s v="gillhell@uk.com"/>
    <x v="3"/>
    <n v="170"/>
    <n v="250"/>
    <n v="910"/>
    <n v="154700"/>
    <n v="227500"/>
    <n v="72800"/>
    <x v="4"/>
    <x v="2"/>
    <x v="10"/>
    <x v="0"/>
    <x v="1"/>
    <x v="10"/>
  </r>
  <r>
    <n v="10196"/>
    <x v="2"/>
    <s v="sorvi2000@gmail.com"/>
    <x v="4"/>
    <n v="150"/>
    <n v="200"/>
    <n v="959"/>
    <n v="143850"/>
    <n v="191800"/>
    <n v="47950"/>
    <x v="0"/>
    <x v="3"/>
    <x v="11"/>
    <x v="1"/>
    <x v="0"/>
    <x v="11"/>
  </r>
  <r>
    <n v="10197"/>
    <x v="3"/>
    <s v="jone.ai@yahoo.com"/>
    <x v="5"/>
    <n v="80"/>
    <n v="150"/>
    <n v="896"/>
    <n v="71680"/>
    <n v="134400"/>
    <n v="62720"/>
    <x v="1"/>
    <x v="4"/>
    <x v="0"/>
    <x v="0"/>
    <x v="0"/>
    <x v="0"/>
  </r>
  <r>
    <n v="10198"/>
    <x v="4"/>
    <s v="andy@gmail.com"/>
    <x v="6"/>
    <n v="90"/>
    <n v="150"/>
    <n v="856"/>
    <n v="77040"/>
    <n v="128400"/>
    <n v="51360"/>
    <x v="2"/>
    <x v="5"/>
    <x v="1"/>
    <x v="2"/>
    <x v="1"/>
    <x v="1"/>
  </r>
  <r>
    <n v="10199"/>
    <x v="0"/>
    <s v="jard@gmail.com"/>
    <x v="0"/>
    <n v="150"/>
    <n v="200"/>
    <n v="817"/>
    <n v="122550"/>
    <n v="163400"/>
    <n v="40850"/>
    <x v="3"/>
    <x v="0"/>
    <x v="2"/>
    <x v="2"/>
    <x v="1"/>
    <x v="2"/>
  </r>
  <r>
    <n v="10200"/>
    <x v="5"/>
    <s v="thomp@uk.com"/>
    <x v="1"/>
    <n v="250"/>
    <n v="500"/>
    <n v="729"/>
    <n v="182250"/>
    <n v="364500"/>
    <n v="182250"/>
    <x v="4"/>
    <x v="1"/>
    <x v="3"/>
    <x v="2"/>
    <x v="1"/>
    <x v="3"/>
  </r>
  <r>
    <n v="10201"/>
    <x v="3"/>
    <s v="jone.ai@yahoo.com"/>
    <x v="2"/>
    <n v="180"/>
    <n v="450"/>
    <n v="805"/>
    <n v="144900"/>
    <n v="362250"/>
    <n v="217350"/>
    <x v="0"/>
    <x v="2"/>
    <x v="4"/>
    <x v="2"/>
    <x v="0"/>
    <x v="4"/>
  </r>
  <r>
    <n v="10202"/>
    <x v="6"/>
    <s v="morganny@gmail.com"/>
    <x v="3"/>
    <n v="170"/>
    <n v="250"/>
    <n v="828"/>
    <n v="140760"/>
    <n v="207000"/>
    <n v="66240"/>
    <x v="1"/>
    <x v="3"/>
    <x v="5"/>
    <x v="0"/>
    <x v="0"/>
    <x v="5"/>
  </r>
  <r>
    <n v="10203"/>
    <x v="7"/>
    <s v="howard_freeman@yahoo.com"/>
    <x v="4"/>
    <n v="150"/>
    <n v="200"/>
    <n v="990"/>
    <n v="148500"/>
    <n v="198000"/>
    <n v="49500"/>
    <x v="2"/>
    <x v="4"/>
    <x v="6"/>
    <x v="0"/>
    <x v="1"/>
    <x v="6"/>
  </r>
  <r>
    <n v="10204"/>
    <x v="8"/>
    <s v="parentty@uk.com"/>
    <x v="5"/>
    <n v="80"/>
    <n v="150"/>
    <n v="831"/>
    <n v="66480"/>
    <n v="124650"/>
    <n v="58170"/>
    <x v="3"/>
    <x v="5"/>
    <x v="7"/>
    <x v="2"/>
    <x v="1"/>
    <x v="7"/>
  </r>
  <r>
    <n v="10205"/>
    <x v="3"/>
    <s v="jone.ai@yahoo.com"/>
    <x v="6"/>
    <n v="90"/>
    <n v="150"/>
    <n v="903"/>
    <n v="81270"/>
    <n v="135450"/>
    <n v="54180"/>
    <x v="4"/>
    <x v="0"/>
    <x v="8"/>
    <x v="0"/>
    <x v="1"/>
    <x v="8"/>
  </r>
  <r>
    <n v="10206"/>
    <x v="9"/>
    <s v="smithMan@yahoo.com"/>
    <x v="0"/>
    <n v="150"/>
    <n v="200"/>
    <n v="751"/>
    <n v="112650"/>
    <n v="150200"/>
    <n v="37550"/>
    <x v="0"/>
    <x v="1"/>
    <x v="9"/>
    <x v="2"/>
    <x v="0"/>
    <x v="9"/>
  </r>
  <r>
    <n v="10207"/>
    <x v="3"/>
    <s v="jone.ai@yahoo.com"/>
    <x v="1"/>
    <n v="250"/>
    <n v="500"/>
    <n v="990"/>
    <n v="247500"/>
    <n v="495000"/>
    <n v="247500"/>
    <x v="1"/>
    <x v="2"/>
    <x v="10"/>
    <x v="0"/>
    <x v="0"/>
    <x v="10"/>
  </r>
  <r>
    <n v="10208"/>
    <x v="0"/>
    <s v="jard@gmail.com"/>
    <x v="2"/>
    <n v="180"/>
    <n v="450"/>
    <n v="878"/>
    <n v="158040"/>
    <n v="395100"/>
    <n v="237060"/>
    <x v="2"/>
    <x v="3"/>
    <x v="11"/>
    <x v="1"/>
    <x v="1"/>
    <x v="11"/>
  </r>
  <r>
    <n v="10209"/>
    <x v="1"/>
    <s v="gillhell@uk.com"/>
    <x v="3"/>
    <n v="170"/>
    <n v="250"/>
    <n v="720"/>
    <n v="122400"/>
    <n v="180000"/>
    <n v="57600"/>
    <x v="3"/>
    <x v="4"/>
    <x v="0"/>
    <x v="2"/>
    <x v="1"/>
    <x v="0"/>
  </r>
  <r>
    <n v="10210"/>
    <x v="2"/>
    <s v="sorvi2000@gmail.com"/>
    <x v="4"/>
    <n v="150"/>
    <n v="200"/>
    <n v="777"/>
    <n v="116550"/>
    <n v="155400"/>
    <n v="38850"/>
    <x v="4"/>
    <x v="5"/>
    <x v="1"/>
    <x v="2"/>
    <x v="1"/>
    <x v="1"/>
  </r>
  <r>
    <n v="10211"/>
    <x v="3"/>
    <s v="jone.ai@yahoo.com"/>
    <x v="5"/>
    <n v="80"/>
    <n v="150"/>
    <n v="848"/>
    <n v="67840"/>
    <n v="127200"/>
    <n v="59360"/>
    <x v="0"/>
    <x v="0"/>
    <x v="2"/>
    <x v="0"/>
    <x v="0"/>
    <x v="2"/>
  </r>
  <r>
    <n v="10212"/>
    <x v="4"/>
    <s v="andy@gmail.com"/>
    <x v="6"/>
    <n v="90"/>
    <n v="150"/>
    <n v="874"/>
    <n v="78660"/>
    <n v="131100"/>
    <n v="52440"/>
    <x v="1"/>
    <x v="1"/>
    <x v="3"/>
    <x v="2"/>
    <x v="0"/>
    <x v="3"/>
  </r>
  <r>
    <n v="10213"/>
    <x v="0"/>
    <s v="jard@gmail.com"/>
    <x v="0"/>
    <n v="150"/>
    <n v="200"/>
    <n v="739"/>
    <n v="110850"/>
    <n v="147800"/>
    <n v="36950"/>
    <x v="2"/>
    <x v="2"/>
    <x v="4"/>
    <x v="2"/>
    <x v="1"/>
    <x v="4"/>
  </r>
  <r>
    <n v="10214"/>
    <x v="5"/>
    <s v="thomp@uk.com"/>
    <x v="1"/>
    <n v="250"/>
    <n v="500"/>
    <n v="704"/>
    <n v="176000"/>
    <n v="352000"/>
    <n v="176000"/>
    <x v="3"/>
    <x v="3"/>
    <x v="5"/>
    <x v="1"/>
    <x v="1"/>
    <x v="5"/>
  </r>
  <r>
    <n v="10215"/>
    <x v="3"/>
    <s v="jone.ai@yahoo.com"/>
    <x v="2"/>
    <n v="180"/>
    <n v="450"/>
    <n v="855"/>
    <n v="153900"/>
    <n v="384750"/>
    <n v="230850"/>
    <x v="4"/>
    <x v="4"/>
    <x v="6"/>
    <x v="0"/>
    <x v="1"/>
    <x v="6"/>
  </r>
  <r>
    <n v="10216"/>
    <x v="6"/>
    <s v="morganny@gmail.com"/>
    <x v="3"/>
    <n v="170"/>
    <n v="250"/>
    <n v="971"/>
    <n v="165070"/>
    <n v="242750"/>
    <n v="77680"/>
    <x v="0"/>
    <x v="5"/>
    <x v="7"/>
    <x v="1"/>
    <x v="0"/>
    <x v="7"/>
  </r>
  <r>
    <n v="10217"/>
    <x v="7"/>
    <s v="howard_freeman@yahoo.com"/>
    <x v="4"/>
    <n v="150"/>
    <n v="200"/>
    <n v="957"/>
    <n v="143550"/>
    <n v="191400"/>
    <n v="47850"/>
    <x v="1"/>
    <x v="0"/>
    <x v="8"/>
    <x v="0"/>
    <x v="0"/>
    <x v="8"/>
  </r>
  <r>
    <n v="10218"/>
    <x v="8"/>
    <s v="parentty@uk.com"/>
    <x v="5"/>
    <n v="80"/>
    <n v="150"/>
    <n v="769"/>
    <n v="61520"/>
    <n v="115350"/>
    <n v="53830"/>
    <x v="2"/>
    <x v="1"/>
    <x v="9"/>
    <x v="2"/>
    <x v="1"/>
    <x v="9"/>
  </r>
  <r>
    <n v="10219"/>
    <x v="3"/>
    <s v="jone.ai@yahoo.com"/>
    <x v="6"/>
    <n v="90"/>
    <n v="150"/>
    <n v="710"/>
    <n v="63900"/>
    <n v="106500"/>
    <n v="42600"/>
    <x v="3"/>
    <x v="2"/>
    <x v="10"/>
    <x v="0"/>
    <x v="1"/>
    <x v="10"/>
  </r>
  <r>
    <n v="10220"/>
    <x v="9"/>
    <s v="smithMan@yahoo.com"/>
    <x v="0"/>
    <n v="150"/>
    <n v="200"/>
    <n v="917"/>
    <n v="137550"/>
    <n v="183400"/>
    <n v="45850"/>
    <x v="4"/>
    <x v="3"/>
    <x v="11"/>
    <x v="0"/>
    <x v="1"/>
    <x v="11"/>
  </r>
  <r>
    <n v="10221"/>
    <x v="3"/>
    <s v="jone.ai@yahoo.com"/>
    <x v="1"/>
    <n v="250"/>
    <n v="500"/>
    <n v="727"/>
    <n v="181750"/>
    <n v="363500"/>
    <n v="181750"/>
    <x v="0"/>
    <x v="4"/>
    <x v="0"/>
    <x v="2"/>
    <x v="0"/>
    <x v="0"/>
  </r>
  <r>
    <n v="10222"/>
    <x v="6"/>
    <s v="morganny@gmail.com"/>
    <x v="2"/>
    <n v="180"/>
    <n v="450"/>
    <n v="768"/>
    <n v="138240"/>
    <n v="345600"/>
    <n v="207360"/>
    <x v="1"/>
    <x v="5"/>
    <x v="1"/>
    <x v="1"/>
    <x v="0"/>
    <x v="1"/>
  </r>
  <r>
    <n v="10223"/>
    <x v="3"/>
    <s v="jone.ai@yahoo.com"/>
    <x v="3"/>
    <n v="170"/>
    <n v="250"/>
    <n v="870"/>
    <n v="147900"/>
    <n v="217500"/>
    <n v="69600"/>
    <x v="2"/>
    <x v="0"/>
    <x v="2"/>
    <x v="0"/>
    <x v="1"/>
    <x v="2"/>
  </r>
  <r>
    <n v="10224"/>
    <x v="8"/>
    <s v="parentty@uk.com"/>
    <x v="4"/>
    <n v="150"/>
    <n v="200"/>
    <n v="914"/>
    <n v="137100"/>
    <n v="182800"/>
    <n v="45700"/>
    <x v="3"/>
    <x v="1"/>
    <x v="3"/>
    <x v="0"/>
    <x v="1"/>
    <x v="3"/>
  </r>
  <r>
    <n v="10225"/>
    <x v="10"/>
    <s v="kivel_go@yahoo.com"/>
    <x v="5"/>
    <n v="80"/>
    <n v="150"/>
    <n v="763"/>
    <n v="61040"/>
    <n v="114450"/>
    <n v="53410"/>
    <x v="4"/>
    <x v="2"/>
    <x v="4"/>
    <x v="0"/>
    <x v="1"/>
    <x v="4"/>
  </r>
  <r>
    <n v="10226"/>
    <x v="9"/>
    <s v="smithMan@yahoo.com"/>
    <x v="6"/>
    <n v="90"/>
    <n v="150"/>
    <n v="951"/>
    <n v="85590"/>
    <n v="142650"/>
    <n v="57060"/>
    <x v="0"/>
    <x v="3"/>
    <x v="5"/>
    <x v="2"/>
    <x v="0"/>
    <x v="5"/>
  </r>
  <r>
    <n v="10227"/>
    <x v="8"/>
    <s v="parentty@uk.com"/>
    <x v="0"/>
    <n v="150"/>
    <n v="200"/>
    <n v="810"/>
    <n v="121500"/>
    <n v="162000"/>
    <n v="40500"/>
    <x v="1"/>
    <x v="4"/>
    <x v="6"/>
    <x v="1"/>
    <x v="0"/>
    <x v="6"/>
  </r>
  <r>
    <n v="10228"/>
    <x v="1"/>
    <s v="gillhell@uk.com"/>
    <x v="1"/>
    <n v="250"/>
    <n v="500"/>
    <n v="886"/>
    <n v="221500"/>
    <n v="443000"/>
    <n v="221500"/>
    <x v="2"/>
    <x v="5"/>
    <x v="7"/>
    <x v="0"/>
    <x v="1"/>
    <x v="7"/>
  </r>
  <r>
    <n v="10229"/>
    <x v="9"/>
    <s v="smithMan@yahoo.com"/>
    <x v="2"/>
    <n v="180"/>
    <n v="450"/>
    <n v="984"/>
    <n v="177120"/>
    <n v="442800"/>
    <n v="265680"/>
    <x v="3"/>
    <x v="0"/>
    <x v="8"/>
    <x v="1"/>
    <x v="1"/>
    <x v="8"/>
  </r>
  <r>
    <n v="10230"/>
    <x v="3"/>
    <s v="jone.ai@yahoo.com"/>
    <x v="3"/>
    <n v="170"/>
    <n v="250"/>
    <n v="974"/>
    <n v="165580"/>
    <n v="243500"/>
    <n v="77920"/>
    <x v="4"/>
    <x v="1"/>
    <x v="9"/>
    <x v="2"/>
    <x v="1"/>
    <x v="9"/>
  </r>
  <r>
    <n v="10231"/>
    <x v="2"/>
    <s v="sorvi2000@gmail.com"/>
    <x v="4"/>
    <n v="150"/>
    <n v="200"/>
    <n v="901"/>
    <n v="135150"/>
    <n v="180200"/>
    <n v="45050"/>
    <x v="0"/>
    <x v="2"/>
    <x v="10"/>
    <x v="0"/>
    <x v="0"/>
    <x v="10"/>
  </r>
  <r>
    <n v="10232"/>
    <x v="0"/>
    <s v="jard@gmail.com"/>
    <x v="5"/>
    <n v="80"/>
    <n v="150"/>
    <n v="934"/>
    <n v="74720"/>
    <n v="140100"/>
    <n v="65380"/>
    <x v="1"/>
    <x v="3"/>
    <x v="11"/>
    <x v="0"/>
    <x v="0"/>
    <x v="11"/>
  </r>
  <r>
    <n v="10233"/>
    <x v="4"/>
    <s v="andy@gmail.com"/>
    <x v="6"/>
    <n v="90"/>
    <n v="150"/>
    <n v="832"/>
    <n v="74880"/>
    <n v="124800"/>
    <n v="49920"/>
    <x v="2"/>
    <x v="4"/>
    <x v="0"/>
    <x v="2"/>
    <x v="1"/>
    <x v="0"/>
  </r>
  <r>
    <n v="10234"/>
    <x v="7"/>
    <s v="howard_freeman@yahoo.com"/>
    <x v="0"/>
    <n v="150"/>
    <n v="200"/>
    <n v="840"/>
    <n v="126000"/>
    <n v="168000"/>
    <n v="42000"/>
    <x v="3"/>
    <x v="5"/>
    <x v="1"/>
    <x v="1"/>
    <x v="1"/>
    <x v="1"/>
  </r>
  <r>
    <n v="10235"/>
    <x v="1"/>
    <s v="gillhell@uk.com"/>
    <x v="1"/>
    <n v="250"/>
    <n v="500"/>
    <n v="966"/>
    <n v="241500"/>
    <n v="483000"/>
    <n v="241500"/>
    <x v="4"/>
    <x v="0"/>
    <x v="2"/>
    <x v="2"/>
    <x v="1"/>
    <x v="2"/>
  </r>
  <r>
    <n v="10236"/>
    <x v="1"/>
    <s v="gillhell@uk.com"/>
    <x v="2"/>
    <n v="180"/>
    <n v="450"/>
    <n v="832"/>
    <n v="149760"/>
    <n v="374400"/>
    <n v="224640"/>
    <x v="0"/>
    <x v="1"/>
    <x v="3"/>
    <x v="1"/>
    <x v="0"/>
    <x v="3"/>
  </r>
  <r>
    <n v="10237"/>
    <x v="10"/>
    <s v="kivel_go@yahoo.com"/>
    <x v="3"/>
    <n v="170"/>
    <n v="250"/>
    <n v="968"/>
    <n v="164560"/>
    <n v="242000"/>
    <n v="77440"/>
    <x v="1"/>
    <x v="2"/>
    <x v="4"/>
    <x v="0"/>
    <x v="0"/>
    <x v="4"/>
  </r>
  <r>
    <n v="10238"/>
    <x v="3"/>
    <s v="jone.ai@yahoo.com"/>
    <x v="4"/>
    <n v="150"/>
    <n v="200"/>
    <n v="791"/>
    <n v="118650"/>
    <n v="158200"/>
    <n v="39550"/>
    <x v="2"/>
    <x v="3"/>
    <x v="5"/>
    <x v="0"/>
    <x v="1"/>
    <x v="5"/>
  </r>
  <r>
    <n v="10239"/>
    <x v="6"/>
    <s v="morganny@gmail.com"/>
    <x v="5"/>
    <n v="80"/>
    <n v="150"/>
    <n v="774"/>
    <n v="61920"/>
    <n v="116100"/>
    <n v="54180"/>
    <x v="3"/>
    <x v="4"/>
    <x v="6"/>
    <x v="1"/>
    <x v="1"/>
    <x v="6"/>
  </r>
  <r>
    <n v="10240"/>
    <x v="10"/>
    <s v="kivel_go@yahoo.com"/>
    <x v="6"/>
    <n v="90"/>
    <n v="150"/>
    <n v="992"/>
    <n v="89280"/>
    <n v="148800"/>
    <n v="59520"/>
    <x v="4"/>
    <x v="5"/>
    <x v="7"/>
    <x v="2"/>
    <x v="1"/>
    <x v="7"/>
  </r>
  <r>
    <n v="10241"/>
    <x v="2"/>
    <s v="sorvi2000@gmail.com"/>
    <x v="0"/>
    <n v="150"/>
    <n v="200"/>
    <n v="881"/>
    <n v="132150"/>
    <n v="176200"/>
    <n v="44050"/>
    <x v="0"/>
    <x v="0"/>
    <x v="8"/>
    <x v="1"/>
    <x v="0"/>
    <x v="8"/>
  </r>
  <r>
    <n v="10242"/>
    <x v="1"/>
    <s v="gillhell@uk.com"/>
    <x v="1"/>
    <n v="250"/>
    <n v="500"/>
    <n v="975"/>
    <n v="243750"/>
    <n v="487500"/>
    <n v="243750"/>
    <x v="1"/>
    <x v="1"/>
    <x v="9"/>
    <x v="2"/>
    <x v="0"/>
    <x v="9"/>
  </r>
  <r>
    <n v="10243"/>
    <x v="2"/>
    <s v="sorvi2000@gmail.com"/>
    <x v="2"/>
    <n v="180"/>
    <n v="450"/>
    <n v="733"/>
    <n v="131940"/>
    <n v="329850"/>
    <n v="197910"/>
    <x v="2"/>
    <x v="2"/>
    <x v="10"/>
    <x v="1"/>
    <x v="1"/>
    <x v="10"/>
  </r>
  <r>
    <n v="10244"/>
    <x v="5"/>
    <s v="thomp@uk.com"/>
    <x v="3"/>
    <n v="170"/>
    <n v="250"/>
    <n v="776"/>
    <n v="131920"/>
    <n v="194000"/>
    <n v="62080"/>
    <x v="3"/>
    <x v="3"/>
    <x v="11"/>
    <x v="2"/>
    <x v="1"/>
    <x v="11"/>
  </r>
  <r>
    <n v="10245"/>
    <x v="4"/>
    <s v="andy@gmail.com"/>
    <x v="4"/>
    <n v="150"/>
    <n v="200"/>
    <n v="924"/>
    <n v="138600"/>
    <n v="184800"/>
    <n v="46200"/>
    <x v="4"/>
    <x v="4"/>
    <x v="0"/>
    <x v="0"/>
    <x v="1"/>
    <x v="0"/>
  </r>
  <r>
    <n v="10246"/>
    <x v="0"/>
    <s v="jard@gmail.com"/>
    <x v="5"/>
    <n v="80"/>
    <n v="150"/>
    <n v="744"/>
    <n v="59520"/>
    <n v="111600"/>
    <n v="52080"/>
    <x v="0"/>
    <x v="5"/>
    <x v="1"/>
    <x v="0"/>
    <x v="0"/>
    <x v="1"/>
  </r>
  <r>
    <n v="10247"/>
    <x v="0"/>
    <s v="jard@gmail.com"/>
    <x v="6"/>
    <n v="90"/>
    <n v="150"/>
    <n v="754"/>
    <n v="67860"/>
    <n v="113100"/>
    <n v="45240"/>
    <x v="1"/>
    <x v="0"/>
    <x v="2"/>
    <x v="0"/>
    <x v="0"/>
    <x v="2"/>
  </r>
  <r>
    <n v="10248"/>
    <x v="4"/>
    <s v="andy@gmail.com"/>
    <x v="0"/>
    <n v="150"/>
    <n v="200"/>
    <n v="792"/>
    <n v="118800"/>
    <n v="158400"/>
    <n v="39600"/>
    <x v="2"/>
    <x v="1"/>
    <x v="3"/>
    <x v="0"/>
    <x v="1"/>
    <x v="3"/>
  </r>
  <r>
    <n v="10249"/>
    <x v="0"/>
    <s v="jard@gmail.com"/>
    <x v="1"/>
    <n v="250"/>
    <n v="500"/>
    <n v="838"/>
    <n v="209500"/>
    <n v="419000"/>
    <n v="209500"/>
    <x v="3"/>
    <x v="2"/>
    <x v="4"/>
    <x v="2"/>
    <x v="1"/>
    <x v="4"/>
  </r>
  <r>
    <n v="10250"/>
    <x v="1"/>
    <s v="gillhell@uk.com"/>
    <x v="2"/>
    <n v="180"/>
    <n v="450"/>
    <n v="963"/>
    <n v="173340"/>
    <n v="433350"/>
    <n v="260010"/>
    <x v="4"/>
    <x v="3"/>
    <x v="5"/>
    <x v="2"/>
    <x v="1"/>
    <x v="5"/>
  </r>
  <r>
    <n v="10251"/>
    <x v="2"/>
    <s v="sorvi2000@gmail.com"/>
    <x v="3"/>
    <n v="170"/>
    <n v="250"/>
    <n v="995"/>
    <n v="169150"/>
    <n v="248750"/>
    <n v="79600"/>
    <x v="0"/>
    <x v="4"/>
    <x v="6"/>
    <x v="2"/>
    <x v="0"/>
    <x v="6"/>
  </r>
  <r>
    <n v="10252"/>
    <x v="3"/>
    <s v="jone.ai@yahoo.com"/>
    <x v="4"/>
    <n v="150"/>
    <n v="200"/>
    <n v="941"/>
    <n v="141150"/>
    <n v="188200"/>
    <n v="47050"/>
    <x v="1"/>
    <x v="5"/>
    <x v="7"/>
    <x v="2"/>
    <x v="0"/>
    <x v="7"/>
  </r>
  <r>
    <n v="10253"/>
    <x v="4"/>
    <s v="andy@gmail.com"/>
    <x v="5"/>
    <n v="80"/>
    <n v="150"/>
    <n v="930"/>
    <n v="74400"/>
    <n v="139500"/>
    <n v="65100"/>
    <x v="2"/>
    <x v="0"/>
    <x v="8"/>
    <x v="1"/>
    <x v="1"/>
    <x v="8"/>
  </r>
  <r>
    <n v="10254"/>
    <x v="0"/>
    <s v="jard@gmail.com"/>
    <x v="6"/>
    <n v="90"/>
    <n v="150"/>
    <n v="780"/>
    <n v="70200"/>
    <n v="117000"/>
    <n v="46800"/>
    <x v="3"/>
    <x v="1"/>
    <x v="9"/>
    <x v="0"/>
    <x v="1"/>
    <x v="9"/>
  </r>
  <r>
    <n v="10255"/>
    <x v="5"/>
    <s v="thomp@uk.com"/>
    <x v="0"/>
    <n v="150"/>
    <n v="200"/>
    <n v="729"/>
    <n v="109350"/>
    <n v="145800"/>
    <n v="36450"/>
    <x v="4"/>
    <x v="2"/>
    <x v="10"/>
    <x v="0"/>
    <x v="1"/>
    <x v="10"/>
  </r>
  <r>
    <n v="10256"/>
    <x v="3"/>
    <s v="jone.ai@yahoo.com"/>
    <x v="1"/>
    <n v="250"/>
    <n v="500"/>
    <n v="909"/>
    <n v="227250"/>
    <n v="454500"/>
    <n v="227250"/>
    <x v="0"/>
    <x v="3"/>
    <x v="11"/>
    <x v="0"/>
    <x v="0"/>
    <x v="11"/>
  </r>
  <r>
    <n v="10257"/>
    <x v="6"/>
    <s v="morganny@gmail.com"/>
    <x v="2"/>
    <n v="180"/>
    <n v="450"/>
    <n v="961"/>
    <n v="172980"/>
    <n v="432450"/>
    <n v="259470"/>
    <x v="1"/>
    <x v="4"/>
    <x v="0"/>
    <x v="1"/>
    <x v="0"/>
    <x v="0"/>
  </r>
  <r>
    <n v="10258"/>
    <x v="7"/>
    <s v="howard_freeman@yahoo.com"/>
    <x v="3"/>
    <n v="170"/>
    <n v="250"/>
    <n v="729"/>
    <n v="123930"/>
    <n v="182250"/>
    <n v="58320"/>
    <x v="2"/>
    <x v="5"/>
    <x v="1"/>
    <x v="1"/>
    <x v="1"/>
    <x v="1"/>
  </r>
  <r>
    <n v="10259"/>
    <x v="8"/>
    <s v="parentty@uk.com"/>
    <x v="4"/>
    <n v="150"/>
    <n v="200"/>
    <n v="944"/>
    <n v="141600"/>
    <n v="188800"/>
    <n v="47200"/>
    <x v="3"/>
    <x v="0"/>
    <x v="2"/>
    <x v="0"/>
    <x v="1"/>
    <x v="2"/>
  </r>
  <r>
    <n v="10260"/>
    <x v="3"/>
    <s v="jone.ai@yahoo.com"/>
    <x v="5"/>
    <n v="80"/>
    <n v="150"/>
    <n v="981"/>
    <n v="78480"/>
    <n v="147150"/>
    <n v="68670"/>
    <x v="4"/>
    <x v="1"/>
    <x v="3"/>
    <x v="2"/>
    <x v="1"/>
    <x v="3"/>
  </r>
  <r>
    <n v="10261"/>
    <x v="9"/>
    <s v="smithMan@yahoo.com"/>
    <x v="6"/>
    <n v="90"/>
    <n v="150"/>
    <n v="763"/>
    <n v="68670"/>
    <n v="114450"/>
    <n v="45780"/>
    <x v="0"/>
    <x v="2"/>
    <x v="4"/>
    <x v="1"/>
    <x v="0"/>
    <x v="4"/>
  </r>
  <r>
    <n v="10262"/>
    <x v="3"/>
    <s v="jone.ai@yahoo.com"/>
    <x v="0"/>
    <n v="150"/>
    <n v="200"/>
    <n v="885"/>
    <n v="132750"/>
    <n v="177000"/>
    <n v="44250"/>
    <x v="1"/>
    <x v="3"/>
    <x v="5"/>
    <x v="2"/>
    <x v="0"/>
    <x v="5"/>
  </r>
  <r>
    <n v="10263"/>
    <x v="6"/>
    <s v="morganny@gmail.com"/>
    <x v="1"/>
    <n v="250"/>
    <n v="500"/>
    <n v="854"/>
    <n v="213500"/>
    <n v="427000"/>
    <n v="213500"/>
    <x v="2"/>
    <x v="4"/>
    <x v="6"/>
    <x v="1"/>
    <x v="1"/>
    <x v="6"/>
  </r>
  <r>
    <n v="10264"/>
    <x v="3"/>
    <s v="jone.ai@yahoo.com"/>
    <x v="2"/>
    <n v="180"/>
    <n v="450"/>
    <n v="727"/>
    <n v="130860"/>
    <n v="327150"/>
    <n v="196290"/>
    <x v="3"/>
    <x v="5"/>
    <x v="7"/>
    <x v="1"/>
    <x v="1"/>
    <x v="7"/>
  </r>
  <r>
    <n v="10265"/>
    <x v="8"/>
    <s v="parentty@uk.com"/>
    <x v="3"/>
    <n v="170"/>
    <n v="250"/>
    <n v="991"/>
    <n v="168470"/>
    <n v="247750"/>
    <n v="79280"/>
    <x v="4"/>
    <x v="0"/>
    <x v="8"/>
    <x v="1"/>
    <x v="1"/>
    <x v="8"/>
  </r>
  <r>
    <n v="10266"/>
    <x v="10"/>
    <s v="kivel_go@yahoo.com"/>
    <x v="4"/>
    <n v="150"/>
    <n v="200"/>
    <n v="792"/>
    <n v="118800"/>
    <n v="158400"/>
    <n v="39600"/>
    <x v="0"/>
    <x v="1"/>
    <x v="9"/>
    <x v="0"/>
    <x v="0"/>
    <x v="9"/>
  </r>
  <r>
    <n v="10267"/>
    <x v="9"/>
    <s v="smithMan@yahoo.com"/>
    <x v="5"/>
    <n v="80"/>
    <n v="150"/>
    <n v="898"/>
    <n v="71840"/>
    <n v="134700"/>
    <n v="62860"/>
    <x v="1"/>
    <x v="2"/>
    <x v="10"/>
    <x v="0"/>
    <x v="0"/>
    <x v="10"/>
  </r>
  <r>
    <n v="10268"/>
    <x v="8"/>
    <s v="parentty@uk.com"/>
    <x v="6"/>
    <n v="90"/>
    <n v="150"/>
    <n v="945"/>
    <n v="85050"/>
    <n v="141750"/>
    <n v="56700"/>
    <x v="2"/>
    <x v="3"/>
    <x v="11"/>
    <x v="0"/>
    <x v="1"/>
    <x v="11"/>
  </r>
  <r>
    <n v="10269"/>
    <x v="1"/>
    <s v="gillhell@uk.com"/>
    <x v="0"/>
    <n v="150"/>
    <n v="200"/>
    <n v="814"/>
    <n v="122100"/>
    <n v="162800"/>
    <n v="40700"/>
    <x v="3"/>
    <x v="4"/>
    <x v="0"/>
    <x v="0"/>
    <x v="1"/>
    <x v="0"/>
  </r>
  <r>
    <n v="10270"/>
    <x v="9"/>
    <s v="smithMan@yahoo.com"/>
    <x v="1"/>
    <n v="250"/>
    <n v="500"/>
    <n v="863"/>
    <n v="215750"/>
    <n v="431500"/>
    <n v="215750"/>
    <x v="4"/>
    <x v="5"/>
    <x v="1"/>
    <x v="1"/>
    <x v="1"/>
    <x v="1"/>
  </r>
  <r>
    <n v="10271"/>
    <x v="3"/>
    <s v="jone.ai@yahoo.com"/>
    <x v="2"/>
    <n v="180"/>
    <n v="450"/>
    <n v="829"/>
    <n v="149220"/>
    <n v="373050"/>
    <n v="223830"/>
    <x v="0"/>
    <x v="0"/>
    <x v="2"/>
    <x v="0"/>
    <x v="0"/>
    <x v="2"/>
  </r>
  <r>
    <n v="10272"/>
    <x v="2"/>
    <s v="sorvi2000@gmail.com"/>
    <x v="3"/>
    <n v="170"/>
    <n v="250"/>
    <n v="747"/>
    <n v="126990"/>
    <n v="186750"/>
    <n v="59760"/>
    <x v="1"/>
    <x v="1"/>
    <x v="3"/>
    <x v="2"/>
    <x v="0"/>
    <x v="3"/>
  </r>
  <r>
    <n v="10273"/>
    <x v="0"/>
    <s v="jard@gmail.com"/>
    <x v="4"/>
    <n v="150"/>
    <n v="200"/>
    <n v="961"/>
    <n v="144150"/>
    <n v="192200"/>
    <n v="48050"/>
    <x v="2"/>
    <x v="2"/>
    <x v="4"/>
    <x v="1"/>
    <x v="1"/>
    <x v="4"/>
  </r>
  <r>
    <n v="10274"/>
    <x v="4"/>
    <s v="andy@gmail.com"/>
    <x v="5"/>
    <n v="80"/>
    <n v="150"/>
    <n v="803"/>
    <n v="64240"/>
    <n v="120450"/>
    <n v="56210"/>
    <x v="3"/>
    <x v="3"/>
    <x v="5"/>
    <x v="0"/>
    <x v="1"/>
    <x v="5"/>
  </r>
  <r>
    <n v="10275"/>
    <x v="7"/>
    <s v="howard_freeman@yahoo.com"/>
    <x v="6"/>
    <n v="90"/>
    <n v="150"/>
    <n v="875"/>
    <n v="78750"/>
    <n v="131250"/>
    <n v="52500"/>
    <x v="4"/>
    <x v="4"/>
    <x v="6"/>
    <x v="2"/>
    <x v="1"/>
    <x v="6"/>
  </r>
  <r>
    <n v="10276"/>
    <x v="1"/>
    <s v="gillhell@uk.com"/>
    <x v="0"/>
    <n v="150"/>
    <n v="200"/>
    <n v="750"/>
    <n v="112500"/>
    <n v="150000"/>
    <n v="37500"/>
    <x v="0"/>
    <x v="5"/>
    <x v="7"/>
    <x v="1"/>
    <x v="0"/>
    <x v="7"/>
  </r>
  <r>
    <n v="10277"/>
    <x v="1"/>
    <s v="gillhell@uk.com"/>
    <x v="1"/>
    <n v="250"/>
    <n v="500"/>
    <n v="850"/>
    <n v="212500"/>
    <n v="425000"/>
    <n v="212500"/>
    <x v="1"/>
    <x v="0"/>
    <x v="8"/>
    <x v="2"/>
    <x v="0"/>
    <x v="8"/>
  </r>
  <r>
    <n v="10278"/>
    <x v="10"/>
    <s v="kivel_go@yahoo.com"/>
    <x v="2"/>
    <n v="180"/>
    <n v="450"/>
    <n v="710"/>
    <n v="127800"/>
    <n v="319500"/>
    <n v="191700"/>
    <x v="2"/>
    <x v="1"/>
    <x v="9"/>
    <x v="1"/>
    <x v="1"/>
    <x v="9"/>
  </r>
  <r>
    <n v="10279"/>
    <x v="3"/>
    <s v="jone.ai@yahoo.com"/>
    <x v="3"/>
    <n v="170"/>
    <n v="250"/>
    <n v="881"/>
    <n v="149770"/>
    <n v="220250"/>
    <n v="70480"/>
    <x v="3"/>
    <x v="2"/>
    <x v="10"/>
    <x v="2"/>
    <x v="1"/>
    <x v="10"/>
  </r>
  <r>
    <n v="10280"/>
    <x v="6"/>
    <s v="morganny@gmail.com"/>
    <x v="4"/>
    <n v="150"/>
    <n v="200"/>
    <n v="777"/>
    <n v="116550"/>
    <n v="155400"/>
    <n v="38850"/>
    <x v="4"/>
    <x v="3"/>
    <x v="11"/>
    <x v="1"/>
    <x v="1"/>
    <x v="11"/>
  </r>
  <r>
    <n v="10281"/>
    <x v="10"/>
    <s v="kivel_go@yahoo.com"/>
    <x v="5"/>
    <n v="80"/>
    <n v="150"/>
    <n v="708"/>
    <n v="56640"/>
    <n v="106200"/>
    <n v="49560"/>
    <x v="0"/>
    <x v="4"/>
    <x v="0"/>
    <x v="2"/>
    <x v="0"/>
    <x v="0"/>
  </r>
  <r>
    <n v="10282"/>
    <x v="2"/>
    <s v="sorvi2000@gmail.com"/>
    <x v="6"/>
    <n v="90"/>
    <n v="150"/>
    <n v="996"/>
    <n v="89640"/>
    <n v="149400"/>
    <n v="59760"/>
    <x v="1"/>
    <x v="5"/>
    <x v="1"/>
    <x v="0"/>
    <x v="0"/>
    <x v="1"/>
  </r>
  <r>
    <n v="10283"/>
    <x v="1"/>
    <s v="gillhell@uk.com"/>
    <x v="0"/>
    <n v="150"/>
    <n v="200"/>
    <n v="870"/>
    <n v="130500"/>
    <n v="174000"/>
    <n v="43500"/>
    <x v="2"/>
    <x v="0"/>
    <x v="2"/>
    <x v="0"/>
    <x v="1"/>
    <x v="2"/>
  </r>
  <r>
    <n v="10284"/>
    <x v="2"/>
    <s v="sorvi2000@gmail.com"/>
    <x v="1"/>
    <n v="250"/>
    <n v="500"/>
    <n v="972"/>
    <n v="243000"/>
    <n v="486000"/>
    <n v="243000"/>
    <x v="3"/>
    <x v="1"/>
    <x v="3"/>
    <x v="0"/>
    <x v="1"/>
    <x v="3"/>
  </r>
  <r>
    <n v="10285"/>
    <x v="5"/>
    <s v="thomp@uk.com"/>
    <x v="2"/>
    <n v="180"/>
    <n v="450"/>
    <n v="989"/>
    <n v="178020"/>
    <n v="445050"/>
    <n v="267030"/>
    <x v="4"/>
    <x v="2"/>
    <x v="4"/>
    <x v="1"/>
    <x v="1"/>
    <x v="4"/>
  </r>
  <r>
    <n v="10286"/>
    <x v="4"/>
    <s v="andy@gmail.com"/>
    <x v="3"/>
    <n v="170"/>
    <n v="250"/>
    <n v="936"/>
    <n v="159120"/>
    <n v="234000"/>
    <n v="74880"/>
    <x v="0"/>
    <x v="3"/>
    <x v="5"/>
    <x v="1"/>
    <x v="0"/>
    <x v="5"/>
  </r>
  <r>
    <n v="10287"/>
    <x v="0"/>
    <s v="jard@gmail.com"/>
    <x v="4"/>
    <n v="150"/>
    <n v="200"/>
    <n v="1000"/>
    <n v="150000"/>
    <n v="200000"/>
    <n v="50000"/>
    <x v="1"/>
    <x v="4"/>
    <x v="6"/>
    <x v="2"/>
    <x v="0"/>
    <x v="6"/>
  </r>
  <r>
    <n v="10288"/>
    <x v="0"/>
    <s v="jard@gmail.com"/>
    <x v="5"/>
    <n v="80"/>
    <n v="150"/>
    <n v="947"/>
    <n v="75760"/>
    <n v="142050"/>
    <n v="66290"/>
    <x v="2"/>
    <x v="5"/>
    <x v="7"/>
    <x v="1"/>
    <x v="1"/>
    <x v="7"/>
  </r>
  <r>
    <n v="10289"/>
    <x v="4"/>
    <s v="andy@gmail.com"/>
    <x v="6"/>
    <n v="90"/>
    <n v="150"/>
    <n v="762"/>
    <n v="68580"/>
    <n v="114300"/>
    <n v="45720"/>
    <x v="3"/>
    <x v="0"/>
    <x v="8"/>
    <x v="0"/>
    <x v="1"/>
    <x v="8"/>
  </r>
  <r>
    <n v="10290"/>
    <x v="3"/>
    <s v="jone.ai@yahoo.com"/>
    <x v="0"/>
    <n v="150"/>
    <n v="200"/>
    <n v="742"/>
    <n v="111300"/>
    <n v="148400"/>
    <n v="37100"/>
    <x v="4"/>
    <x v="1"/>
    <x v="9"/>
    <x v="2"/>
    <x v="1"/>
    <x v="9"/>
  </r>
  <r>
    <n v="10291"/>
    <x v="6"/>
    <s v="morganny@gmail.com"/>
    <x v="1"/>
    <n v="250"/>
    <n v="500"/>
    <n v="902"/>
    <n v="225500"/>
    <n v="451000"/>
    <n v="225500"/>
    <x v="0"/>
    <x v="2"/>
    <x v="10"/>
    <x v="0"/>
    <x v="0"/>
    <x v="10"/>
  </r>
  <r>
    <n v="10292"/>
    <x v="10"/>
    <s v="kivel_go@yahoo.com"/>
    <x v="2"/>
    <n v="180"/>
    <n v="450"/>
    <n v="840"/>
    <n v="151200"/>
    <n v="378000"/>
    <n v="226800"/>
    <x v="1"/>
    <x v="3"/>
    <x v="11"/>
    <x v="1"/>
    <x v="0"/>
    <x v="11"/>
  </r>
  <r>
    <n v="10293"/>
    <x v="2"/>
    <s v="sorvi2000@gmail.com"/>
    <x v="3"/>
    <n v="170"/>
    <n v="250"/>
    <n v="773"/>
    <n v="131410"/>
    <n v="193250"/>
    <n v="61840"/>
    <x v="2"/>
    <x v="4"/>
    <x v="0"/>
    <x v="2"/>
    <x v="1"/>
    <x v="0"/>
  </r>
  <r>
    <n v="10294"/>
    <x v="1"/>
    <s v="gillhell@uk.com"/>
    <x v="4"/>
    <n v="150"/>
    <n v="200"/>
    <n v="934"/>
    <n v="140100"/>
    <n v="186800"/>
    <n v="46700"/>
    <x v="3"/>
    <x v="5"/>
    <x v="1"/>
    <x v="1"/>
    <x v="1"/>
    <x v="1"/>
  </r>
  <r>
    <n v="10295"/>
    <x v="2"/>
    <s v="sorvi2000@gmail.com"/>
    <x v="5"/>
    <n v="80"/>
    <n v="150"/>
    <n v="983"/>
    <n v="78640"/>
    <n v="147450"/>
    <n v="68810"/>
    <x v="4"/>
    <x v="0"/>
    <x v="2"/>
    <x v="2"/>
    <x v="1"/>
    <x v="2"/>
  </r>
  <r>
    <n v="10296"/>
    <x v="5"/>
    <s v="thomp@uk.com"/>
    <x v="6"/>
    <n v="90"/>
    <n v="150"/>
    <n v="729"/>
    <n v="65610"/>
    <n v="109350"/>
    <n v="43740"/>
    <x v="0"/>
    <x v="1"/>
    <x v="3"/>
    <x v="1"/>
    <x v="0"/>
    <x v="3"/>
  </r>
  <r>
    <n v="10297"/>
    <x v="4"/>
    <s v="andy@gmail.com"/>
    <x v="0"/>
    <n v="150"/>
    <n v="200"/>
    <n v="786"/>
    <n v="117900"/>
    <n v="157200"/>
    <n v="39300"/>
    <x v="1"/>
    <x v="2"/>
    <x v="4"/>
    <x v="2"/>
    <x v="0"/>
    <x v="4"/>
  </r>
  <r>
    <n v="10298"/>
    <x v="0"/>
    <s v="jard@gmail.com"/>
    <x v="1"/>
    <n v="250"/>
    <n v="500"/>
    <n v="843"/>
    <n v="210750"/>
    <n v="421500"/>
    <n v="210750"/>
    <x v="2"/>
    <x v="3"/>
    <x v="5"/>
    <x v="1"/>
    <x v="1"/>
    <x v="5"/>
  </r>
  <r>
    <n v="10299"/>
    <x v="0"/>
    <s v="jard@gmail.com"/>
    <x v="2"/>
    <n v="180"/>
    <n v="450"/>
    <n v="897"/>
    <n v="161460"/>
    <n v="403650"/>
    <n v="242190"/>
    <x v="3"/>
    <x v="4"/>
    <x v="6"/>
    <x v="2"/>
    <x v="1"/>
    <x v="6"/>
  </r>
  <r>
    <n v="10300"/>
    <x v="4"/>
    <s v="andy@gmail.com"/>
    <x v="3"/>
    <n v="170"/>
    <n v="250"/>
    <n v="733"/>
    <n v="124610"/>
    <n v="183250"/>
    <n v="58640"/>
    <x v="4"/>
    <x v="5"/>
    <x v="7"/>
    <x v="1"/>
    <x v="1"/>
    <x v="7"/>
  </r>
  <r>
    <n v="10301"/>
    <x v="0"/>
    <s v="jard@gmail.com"/>
    <x v="4"/>
    <n v="150"/>
    <n v="200"/>
    <n v="939"/>
    <n v="140850"/>
    <n v="187800"/>
    <n v="46950"/>
    <x v="0"/>
    <x v="0"/>
    <x v="8"/>
    <x v="0"/>
    <x v="0"/>
    <x v="8"/>
  </r>
  <r>
    <n v="10302"/>
    <x v="1"/>
    <s v="gillhell@uk.com"/>
    <x v="5"/>
    <n v="80"/>
    <n v="150"/>
    <n v="836"/>
    <n v="66880"/>
    <n v="125400"/>
    <n v="58520"/>
    <x v="1"/>
    <x v="1"/>
    <x v="9"/>
    <x v="2"/>
    <x v="0"/>
    <x v="9"/>
  </r>
  <r>
    <n v="10303"/>
    <x v="2"/>
    <s v="sorvi2000@gmail.com"/>
    <x v="6"/>
    <n v="90"/>
    <n v="150"/>
    <n v="874"/>
    <n v="78660"/>
    <n v="131100"/>
    <n v="52440"/>
    <x v="2"/>
    <x v="2"/>
    <x v="10"/>
    <x v="1"/>
    <x v="1"/>
    <x v="10"/>
  </r>
  <r>
    <n v="10304"/>
    <x v="3"/>
    <s v="jone.ai@yahoo.com"/>
    <x v="0"/>
    <n v="150"/>
    <n v="200"/>
    <n v="764"/>
    <n v="114600"/>
    <n v="152800"/>
    <n v="38200"/>
    <x v="3"/>
    <x v="3"/>
    <x v="11"/>
    <x v="1"/>
    <x v="1"/>
    <x v="11"/>
  </r>
  <r>
    <n v="10305"/>
    <x v="4"/>
    <s v="andy@gmail.com"/>
    <x v="1"/>
    <n v="250"/>
    <n v="500"/>
    <n v="920"/>
    <n v="230000"/>
    <n v="460000"/>
    <n v="230000"/>
    <x v="4"/>
    <x v="4"/>
    <x v="0"/>
    <x v="0"/>
    <x v="1"/>
    <x v="0"/>
  </r>
  <r>
    <n v="10306"/>
    <x v="0"/>
    <s v="jard@gmail.com"/>
    <x v="2"/>
    <n v="180"/>
    <n v="450"/>
    <n v="950"/>
    <n v="171000"/>
    <n v="427500"/>
    <n v="256500"/>
    <x v="0"/>
    <x v="5"/>
    <x v="1"/>
    <x v="2"/>
    <x v="0"/>
    <x v="1"/>
  </r>
  <r>
    <n v="10307"/>
    <x v="5"/>
    <s v="thomp@uk.com"/>
    <x v="3"/>
    <n v="170"/>
    <n v="250"/>
    <n v="841"/>
    <n v="142970"/>
    <n v="210250"/>
    <n v="67280"/>
    <x v="1"/>
    <x v="0"/>
    <x v="2"/>
    <x v="2"/>
    <x v="0"/>
    <x v="2"/>
  </r>
  <r>
    <n v="10308"/>
    <x v="3"/>
    <s v="jone.ai@yahoo.com"/>
    <x v="4"/>
    <n v="150"/>
    <n v="200"/>
    <n v="801"/>
    <n v="120150"/>
    <n v="160200"/>
    <n v="40050"/>
    <x v="2"/>
    <x v="1"/>
    <x v="3"/>
    <x v="2"/>
    <x v="1"/>
    <x v="3"/>
  </r>
  <r>
    <n v="10309"/>
    <x v="6"/>
    <s v="morganny@gmail.com"/>
    <x v="5"/>
    <n v="80"/>
    <n v="150"/>
    <n v="867"/>
    <n v="69360"/>
    <n v="130050"/>
    <n v="60690"/>
    <x v="3"/>
    <x v="2"/>
    <x v="4"/>
    <x v="1"/>
    <x v="1"/>
    <x v="4"/>
  </r>
  <r>
    <n v="10310"/>
    <x v="7"/>
    <s v="howard_freeman@yahoo.com"/>
    <x v="6"/>
    <n v="90"/>
    <n v="150"/>
    <n v="721"/>
    <n v="64890"/>
    <n v="108150"/>
    <n v="43260"/>
    <x v="4"/>
    <x v="3"/>
    <x v="5"/>
    <x v="2"/>
    <x v="1"/>
    <x v="5"/>
  </r>
  <r>
    <n v="10311"/>
    <x v="8"/>
    <s v="parentty@uk.com"/>
    <x v="0"/>
    <n v="150"/>
    <n v="200"/>
    <n v="755"/>
    <n v="113250"/>
    <n v="151000"/>
    <n v="37750"/>
    <x v="0"/>
    <x v="4"/>
    <x v="6"/>
    <x v="2"/>
    <x v="0"/>
    <x v="6"/>
  </r>
  <r>
    <n v="10312"/>
    <x v="3"/>
    <s v="jone.ai@yahoo.com"/>
    <x v="1"/>
    <n v="250"/>
    <n v="500"/>
    <n v="937"/>
    <n v="234250"/>
    <n v="468500"/>
    <n v="234250"/>
    <x v="1"/>
    <x v="5"/>
    <x v="7"/>
    <x v="1"/>
    <x v="0"/>
    <x v="7"/>
  </r>
  <r>
    <n v="10313"/>
    <x v="9"/>
    <s v="smithMan@yahoo.com"/>
    <x v="2"/>
    <n v="180"/>
    <n v="450"/>
    <n v="865"/>
    <n v="155700"/>
    <n v="389250"/>
    <n v="233550"/>
    <x v="2"/>
    <x v="0"/>
    <x v="8"/>
    <x v="2"/>
    <x v="1"/>
    <x v="8"/>
  </r>
  <r>
    <n v="10314"/>
    <x v="3"/>
    <s v="jone.ai@yahoo.com"/>
    <x v="3"/>
    <n v="170"/>
    <n v="250"/>
    <n v="736"/>
    <n v="125120"/>
    <n v="184000"/>
    <n v="58880"/>
    <x v="3"/>
    <x v="1"/>
    <x v="9"/>
    <x v="1"/>
    <x v="1"/>
    <x v="9"/>
  </r>
  <r>
    <n v="10315"/>
    <x v="0"/>
    <s v="jard@gmail.com"/>
    <x v="4"/>
    <n v="150"/>
    <n v="200"/>
    <n v="982"/>
    <n v="147300"/>
    <n v="196400"/>
    <n v="49100"/>
    <x v="4"/>
    <x v="2"/>
    <x v="10"/>
    <x v="2"/>
    <x v="1"/>
    <x v="10"/>
  </r>
  <r>
    <n v="10316"/>
    <x v="1"/>
    <s v="gillhell@uk.com"/>
    <x v="5"/>
    <n v="80"/>
    <n v="150"/>
    <n v="850"/>
    <n v="68000"/>
    <n v="127500"/>
    <n v="59500"/>
    <x v="0"/>
    <x v="3"/>
    <x v="11"/>
    <x v="2"/>
    <x v="0"/>
    <x v="11"/>
  </r>
  <r>
    <n v="10317"/>
    <x v="2"/>
    <s v="sorvi2000@gmail.com"/>
    <x v="6"/>
    <n v="90"/>
    <n v="150"/>
    <n v="754"/>
    <n v="67860"/>
    <n v="113100"/>
    <n v="45240"/>
    <x v="1"/>
    <x v="4"/>
    <x v="0"/>
    <x v="2"/>
    <x v="0"/>
    <x v="0"/>
  </r>
  <r>
    <n v="10318"/>
    <x v="3"/>
    <s v="jone.ai@yahoo.com"/>
    <x v="0"/>
    <n v="150"/>
    <n v="200"/>
    <n v="912"/>
    <n v="136800"/>
    <n v="182400"/>
    <n v="45600"/>
    <x v="2"/>
    <x v="5"/>
    <x v="1"/>
    <x v="1"/>
    <x v="1"/>
    <x v="1"/>
  </r>
  <r>
    <n v="10319"/>
    <x v="4"/>
    <s v="andy@gmail.com"/>
    <x v="1"/>
    <n v="250"/>
    <n v="500"/>
    <n v="881"/>
    <n v="220250"/>
    <n v="440500"/>
    <n v="220250"/>
    <x v="3"/>
    <x v="0"/>
    <x v="2"/>
    <x v="2"/>
    <x v="1"/>
    <x v="2"/>
  </r>
  <r>
    <n v="10320"/>
    <x v="0"/>
    <s v="jard@gmail.com"/>
    <x v="2"/>
    <n v="180"/>
    <n v="450"/>
    <n v="818"/>
    <n v="147240"/>
    <n v="368100"/>
    <n v="220860"/>
    <x v="4"/>
    <x v="1"/>
    <x v="3"/>
    <x v="2"/>
    <x v="1"/>
    <x v="3"/>
  </r>
  <r>
    <n v="10321"/>
    <x v="5"/>
    <s v="thomp@uk.com"/>
    <x v="3"/>
    <n v="170"/>
    <n v="250"/>
    <n v="781"/>
    <n v="132770"/>
    <n v="195250"/>
    <n v="62480"/>
    <x v="0"/>
    <x v="2"/>
    <x v="4"/>
    <x v="2"/>
    <x v="0"/>
    <x v="4"/>
  </r>
  <r>
    <n v="10322"/>
    <x v="3"/>
    <s v="jone.ai@yahoo.com"/>
    <x v="4"/>
    <n v="150"/>
    <n v="200"/>
    <n v="910"/>
    <n v="136500"/>
    <n v="182000"/>
    <n v="45500"/>
    <x v="1"/>
    <x v="3"/>
    <x v="5"/>
    <x v="1"/>
    <x v="0"/>
    <x v="5"/>
  </r>
  <r>
    <n v="10323"/>
    <x v="6"/>
    <s v="morganny@gmail.com"/>
    <x v="5"/>
    <n v="80"/>
    <n v="150"/>
    <n v="704"/>
    <n v="56320"/>
    <n v="105600"/>
    <n v="49280"/>
    <x v="2"/>
    <x v="4"/>
    <x v="6"/>
    <x v="0"/>
    <x v="1"/>
    <x v="6"/>
  </r>
  <r>
    <n v="10324"/>
    <x v="7"/>
    <s v="howard_freeman@yahoo.com"/>
    <x v="6"/>
    <n v="90"/>
    <n v="150"/>
    <n v="824"/>
    <n v="74160"/>
    <n v="123600"/>
    <n v="49440"/>
    <x v="3"/>
    <x v="5"/>
    <x v="7"/>
    <x v="1"/>
    <x v="1"/>
    <x v="7"/>
  </r>
  <r>
    <n v="10325"/>
    <x v="8"/>
    <s v="parentty@uk.com"/>
    <x v="0"/>
    <n v="150"/>
    <n v="200"/>
    <n v="710"/>
    <n v="106500"/>
    <n v="142000"/>
    <n v="35500"/>
    <x v="4"/>
    <x v="0"/>
    <x v="8"/>
    <x v="0"/>
    <x v="1"/>
    <x v="8"/>
  </r>
  <r>
    <n v="10326"/>
    <x v="3"/>
    <s v="jone.ai@yahoo.com"/>
    <x v="1"/>
    <n v="250"/>
    <n v="500"/>
    <n v="913"/>
    <n v="228250"/>
    <n v="456500"/>
    <n v="228250"/>
    <x v="0"/>
    <x v="1"/>
    <x v="9"/>
    <x v="1"/>
    <x v="0"/>
    <x v="9"/>
  </r>
  <r>
    <n v="10327"/>
    <x v="9"/>
    <s v="smithMan@yahoo.com"/>
    <x v="2"/>
    <n v="180"/>
    <n v="450"/>
    <n v="983"/>
    <n v="176940"/>
    <n v="442350"/>
    <n v="265410"/>
    <x v="1"/>
    <x v="2"/>
    <x v="10"/>
    <x v="1"/>
    <x v="0"/>
    <x v="10"/>
  </r>
  <r>
    <n v="10328"/>
    <x v="3"/>
    <s v="jone.ai@yahoo.com"/>
    <x v="3"/>
    <n v="170"/>
    <n v="250"/>
    <n v="706"/>
    <n v="120020"/>
    <n v="176500"/>
    <n v="56480"/>
    <x v="2"/>
    <x v="3"/>
    <x v="11"/>
    <x v="0"/>
    <x v="1"/>
    <x v="11"/>
  </r>
  <r>
    <n v="10329"/>
    <x v="6"/>
    <s v="morganny@gmail.com"/>
    <x v="4"/>
    <n v="150"/>
    <n v="200"/>
    <n v="819"/>
    <n v="122850"/>
    <n v="163800"/>
    <n v="40950"/>
    <x v="3"/>
    <x v="4"/>
    <x v="0"/>
    <x v="1"/>
    <x v="1"/>
    <x v="0"/>
  </r>
  <r>
    <n v="10330"/>
    <x v="3"/>
    <s v="jone.ai@yahoo.com"/>
    <x v="5"/>
    <n v="80"/>
    <n v="150"/>
    <n v="762"/>
    <n v="60960"/>
    <n v="114300"/>
    <n v="53340"/>
    <x v="4"/>
    <x v="5"/>
    <x v="1"/>
    <x v="1"/>
    <x v="1"/>
    <x v="1"/>
  </r>
  <r>
    <n v="10331"/>
    <x v="8"/>
    <s v="parentty@uk.com"/>
    <x v="6"/>
    <n v="90"/>
    <n v="150"/>
    <n v="760"/>
    <n v="68400"/>
    <n v="114000"/>
    <n v="45600"/>
    <x v="0"/>
    <x v="0"/>
    <x v="2"/>
    <x v="0"/>
    <x v="0"/>
    <x v="2"/>
  </r>
  <r>
    <n v="10332"/>
    <x v="10"/>
    <s v="kivel_go@yahoo.com"/>
    <x v="0"/>
    <n v="150"/>
    <n v="200"/>
    <n v="872"/>
    <n v="130800"/>
    <n v="174400"/>
    <n v="43600"/>
    <x v="1"/>
    <x v="1"/>
    <x v="3"/>
    <x v="0"/>
    <x v="0"/>
    <x v="3"/>
  </r>
  <r>
    <n v="10333"/>
    <x v="9"/>
    <s v="smithMan@yahoo.com"/>
    <x v="1"/>
    <n v="250"/>
    <n v="500"/>
    <n v="723"/>
    <n v="180750"/>
    <n v="361500"/>
    <n v="180750"/>
    <x v="2"/>
    <x v="2"/>
    <x v="4"/>
    <x v="0"/>
    <x v="1"/>
    <x v="4"/>
  </r>
  <r>
    <n v="10334"/>
    <x v="8"/>
    <s v="parentty@uk.com"/>
    <x v="2"/>
    <n v="180"/>
    <n v="450"/>
    <n v="913"/>
    <n v="164340"/>
    <n v="410850"/>
    <n v="246510"/>
    <x v="3"/>
    <x v="3"/>
    <x v="5"/>
    <x v="0"/>
    <x v="1"/>
    <x v="5"/>
  </r>
  <r>
    <n v="10335"/>
    <x v="1"/>
    <s v="gillhell@uk.com"/>
    <x v="3"/>
    <n v="170"/>
    <n v="250"/>
    <n v="852"/>
    <n v="144840"/>
    <n v="213000"/>
    <n v="68160"/>
    <x v="4"/>
    <x v="4"/>
    <x v="6"/>
    <x v="2"/>
    <x v="1"/>
    <x v="6"/>
  </r>
  <r>
    <n v="10336"/>
    <x v="9"/>
    <s v="smithMan@yahoo.com"/>
    <x v="4"/>
    <n v="150"/>
    <n v="200"/>
    <n v="856"/>
    <n v="128400"/>
    <n v="171200"/>
    <n v="42800"/>
    <x v="0"/>
    <x v="5"/>
    <x v="7"/>
    <x v="0"/>
    <x v="0"/>
    <x v="7"/>
  </r>
  <r>
    <n v="10337"/>
    <x v="3"/>
    <s v="jone.ai@yahoo.com"/>
    <x v="5"/>
    <n v="80"/>
    <n v="150"/>
    <n v="827"/>
    <n v="66160"/>
    <n v="124050"/>
    <n v="57890"/>
    <x v="1"/>
    <x v="0"/>
    <x v="8"/>
    <x v="0"/>
    <x v="0"/>
    <x v="8"/>
  </r>
  <r>
    <n v="10338"/>
    <x v="2"/>
    <s v="sorvi2000@gmail.com"/>
    <x v="6"/>
    <n v="90"/>
    <n v="150"/>
    <n v="735"/>
    <n v="66150"/>
    <n v="110250"/>
    <n v="44100"/>
    <x v="2"/>
    <x v="1"/>
    <x v="9"/>
    <x v="2"/>
    <x v="1"/>
    <x v="9"/>
  </r>
  <r>
    <n v="10339"/>
    <x v="0"/>
    <s v="jard@gmail.com"/>
    <x v="0"/>
    <n v="150"/>
    <n v="200"/>
    <n v="819"/>
    <n v="122850"/>
    <n v="163800"/>
    <n v="40950"/>
    <x v="3"/>
    <x v="2"/>
    <x v="10"/>
    <x v="0"/>
    <x v="1"/>
    <x v="10"/>
  </r>
  <r>
    <n v="10340"/>
    <x v="4"/>
    <s v="andy@gmail.com"/>
    <x v="1"/>
    <n v="250"/>
    <n v="500"/>
    <n v="882"/>
    <n v="220500"/>
    <n v="441000"/>
    <n v="220500"/>
    <x v="4"/>
    <x v="3"/>
    <x v="11"/>
    <x v="1"/>
    <x v="1"/>
    <x v="11"/>
  </r>
  <r>
    <n v="10341"/>
    <x v="7"/>
    <s v="howard_freeman@yahoo.com"/>
    <x v="2"/>
    <n v="180"/>
    <n v="450"/>
    <n v="897"/>
    <n v="161460"/>
    <n v="403650"/>
    <n v="242190"/>
    <x v="0"/>
    <x v="4"/>
    <x v="0"/>
    <x v="2"/>
    <x v="0"/>
    <x v="0"/>
  </r>
  <r>
    <n v="10342"/>
    <x v="1"/>
    <s v="gillhell@uk.com"/>
    <x v="3"/>
    <n v="170"/>
    <n v="250"/>
    <n v="922"/>
    <n v="156740"/>
    <n v="230500"/>
    <n v="73760"/>
    <x v="1"/>
    <x v="5"/>
    <x v="1"/>
    <x v="1"/>
    <x v="0"/>
    <x v="1"/>
  </r>
  <r>
    <n v="10343"/>
    <x v="1"/>
    <s v="gillhell@uk.com"/>
    <x v="4"/>
    <n v="150"/>
    <n v="200"/>
    <n v="838"/>
    <n v="125700"/>
    <n v="167600"/>
    <n v="41900"/>
    <x v="2"/>
    <x v="0"/>
    <x v="2"/>
    <x v="2"/>
    <x v="1"/>
    <x v="2"/>
  </r>
  <r>
    <n v="10344"/>
    <x v="10"/>
    <s v="kivel_go@yahoo.com"/>
    <x v="5"/>
    <n v="80"/>
    <n v="150"/>
    <n v="859"/>
    <n v="68720"/>
    <n v="128850"/>
    <n v="60130"/>
    <x v="3"/>
    <x v="1"/>
    <x v="3"/>
    <x v="1"/>
    <x v="1"/>
    <x v="3"/>
  </r>
  <r>
    <n v="10345"/>
    <x v="3"/>
    <s v="jone.ai@yahoo.com"/>
    <x v="6"/>
    <n v="90"/>
    <n v="150"/>
    <n v="950"/>
    <n v="85500"/>
    <n v="142500"/>
    <n v="57000"/>
    <x v="4"/>
    <x v="2"/>
    <x v="4"/>
    <x v="2"/>
    <x v="1"/>
    <x v="4"/>
  </r>
  <r>
    <n v="10346"/>
    <x v="6"/>
    <s v="morganny@gmail.com"/>
    <x v="0"/>
    <n v="150"/>
    <n v="200"/>
    <n v="706"/>
    <n v="105900"/>
    <n v="141200"/>
    <n v="35300"/>
    <x v="0"/>
    <x v="3"/>
    <x v="5"/>
    <x v="0"/>
    <x v="0"/>
    <x v="5"/>
  </r>
  <r>
    <n v="10347"/>
    <x v="10"/>
    <s v="kivel_go@yahoo.com"/>
    <x v="1"/>
    <n v="250"/>
    <n v="500"/>
    <n v="702"/>
    <n v="175500"/>
    <n v="351000"/>
    <n v="175500"/>
    <x v="1"/>
    <x v="4"/>
    <x v="6"/>
    <x v="1"/>
    <x v="0"/>
    <x v="6"/>
  </r>
  <r>
    <n v="10348"/>
    <x v="2"/>
    <s v="sorvi2000@gmail.com"/>
    <x v="2"/>
    <n v="180"/>
    <n v="450"/>
    <n v="899"/>
    <n v="161820"/>
    <n v="404550"/>
    <n v="242730"/>
    <x v="2"/>
    <x v="5"/>
    <x v="7"/>
    <x v="0"/>
    <x v="1"/>
    <x v="7"/>
  </r>
  <r>
    <n v="10349"/>
    <x v="1"/>
    <s v="gillhell@uk.com"/>
    <x v="3"/>
    <n v="170"/>
    <n v="250"/>
    <n v="738"/>
    <n v="125460"/>
    <n v="184500"/>
    <n v="59040"/>
    <x v="3"/>
    <x v="0"/>
    <x v="8"/>
    <x v="0"/>
    <x v="1"/>
    <x v="8"/>
  </r>
  <r>
    <n v="10350"/>
    <x v="2"/>
    <s v="sorvi2000@gmail.com"/>
    <x v="4"/>
    <n v="150"/>
    <n v="200"/>
    <n v="917"/>
    <n v="137550"/>
    <n v="183400"/>
    <n v="45850"/>
    <x v="4"/>
    <x v="1"/>
    <x v="9"/>
    <x v="2"/>
    <x v="1"/>
    <x v="9"/>
  </r>
  <r>
    <n v="10351"/>
    <x v="5"/>
    <s v="thomp@uk.com"/>
    <x v="5"/>
    <n v="80"/>
    <n v="150"/>
    <n v="783"/>
    <n v="62640"/>
    <n v="117450"/>
    <n v="54810"/>
    <x v="0"/>
    <x v="2"/>
    <x v="10"/>
    <x v="0"/>
    <x v="0"/>
    <x v="10"/>
  </r>
  <r>
    <n v="10352"/>
    <x v="4"/>
    <s v="andy@gmail.com"/>
    <x v="6"/>
    <n v="90"/>
    <n v="150"/>
    <n v="831"/>
    <n v="74790"/>
    <n v="124650"/>
    <n v="49860"/>
    <x v="1"/>
    <x v="3"/>
    <x v="11"/>
    <x v="0"/>
    <x v="0"/>
    <x v="11"/>
  </r>
  <r>
    <n v="10353"/>
    <x v="0"/>
    <s v="jard@gmail.com"/>
    <x v="0"/>
    <n v="150"/>
    <n v="200"/>
    <n v="869"/>
    <n v="130350"/>
    <n v="173800"/>
    <n v="43450"/>
    <x v="2"/>
    <x v="4"/>
    <x v="0"/>
    <x v="0"/>
    <x v="1"/>
    <x v="0"/>
  </r>
  <r>
    <n v="10354"/>
    <x v="0"/>
    <s v="jard@gmail.com"/>
    <x v="1"/>
    <n v="250"/>
    <n v="500"/>
    <n v="750"/>
    <n v="187500"/>
    <n v="375000"/>
    <n v="187500"/>
    <x v="3"/>
    <x v="5"/>
    <x v="1"/>
    <x v="2"/>
    <x v="1"/>
    <x v="1"/>
  </r>
  <r>
    <n v="10355"/>
    <x v="4"/>
    <s v="andy@gmail.com"/>
    <x v="2"/>
    <n v="180"/>
    <n v="450"/>
    <n v="931"/>
    <n v="167580"/>
    <n v="418950"/>
    <n v="251370"/>
    <x v="4"/>
    <x v="0"/>
    <x v="2"/>
    <x v="0"/>
    <x v="1"/>
    <x v="2"/>
  </r>
  <r>
    <n v="10356"/>
    <x v="0"/>
    <s v="jard@gmail.com"/>
    <x v="3"/>
    <n v="170"/>
    <n v="250"/>
    <n v="972"/>
    <n v="165240"/>
    <n v="243000"/>
    <n v="77760"/>
    <x v="0"/>
    <x v="1"/>
    <x v="3"/>
    <x v="2"/>
    <x v="0"/>
    <x v="3"/>
  </r>
  <r>
    <n v="10357"/>
    <x v="1"/>
    <s v="gillhell@uk.com"/>
    <x v="4"/>
    <n v="150"/>
    <n v="200"/>
    <n v="985"/>
    <n v="147750"/>
    <n v="197000"/>
    <n v="49250"/>
    <x v="1"/>
    <x v="2"/>
    <x v="4"/>
    <x v="2"/>
    <x v="0"/>
    <x v="4"/>
  </r>
  <r>
    <n v="10358"/>
    <x v="2"/>
    <s v="sorvi2000@gmail.com"/>
    <x v="5"/>
    <n v="80"/>
    <n v="150"/>
    <n v="826"/>
    <n v="66080"/>
    <n v="123900"/>
    <n v="57820"/>
    <x v="2"/>
    <x v="3"/>
    <x v="5"/>
    <x v="1"/>
    <x v="1"/>
    <x v="5"/>
  </r>
  <r>
    <n v="10359"/>
    <x v="3"/>
    <s v="jone.ai@yahoo.com"/>
    <x v="6"/>
    <n v="90"/>
    <n v="150"/>
    <n v="907"/>
    <n v="81630"/>
    <n v="136050"/>
    <n v="54420"/>
    <x v="3"/>
    <x v="4"/>
    <x v="6"/>
    <x v="1"/>
    <x v="1"/>
    <x v="6"/>
  </r>
  <r>
    <n v="10360"/>
    <x v="4"/>
    <s v="andy@gmail.com"/>
    <x v="0"/>
    <n v="150"/>
    <n v="200"/>
    <n v="704"/>
    <n v="105600"/>
    <n v="140800"/>
    <n v="35200"/>
    <x v="4"/>
    <x v="5"/>
    <x v="7"/>
    <x v="0"/>
    <x v="1"/>
    <x v="7"/>
  </r>
  <r>
    <n v="10361"/>
    <x v="0"/>
    <s v="jard@gmail.com"/>
    <x v="1"/>
    <n v="250"/>
    <n v="500"/>
    <n v="719"/>
    <n v="179750"/>
    <n v="359500"/>
    <n v="179750"/>
    <x v="0"/>
    <x v="0"/>
    <x v="8"/>
    <x v="0"/>
    <x v="0"/>
    <x v="8"/>
  </r>
  <r>
    <n v="10362"/>
    <x v="5"/>
    <s v="thomp@uk.com"/>
    <x v="2"/>
    <n v="180"/>
    <n v="450"/>
    <n v="718"/>
    <n v="129240"/>
    <n v="323100"/>
    <n v="193860"/>
    <x v="1"/>
    <x v="1"/>
    <x v="9"/>
    <x v="1"/>
    <x v="0"/>
    <x v="9"/>
  </r>
  <r>
    <n v="10363"/>
    <x v="3"/>
    <s v="jone.ai@yahoo.com"/>
    <x v="3"/>
    <n v="170"/>
    <n v="250"/>
    <n v="879"/>
    <n v="149430"/>
    <n v="219750"/>
    <n v="70320"/>
    <x v="2"/>
    <x v="2"/>
    <x v="10"/>
    <x v="2"/>
    <x v="1"/>
    <x v="10"/>
  </r>
  <r>
    <n v="10364"/>
    <x v="6"/>
    <s v="morganny@gmail.com"/>
    <x v="4"/>
    <n v="150"/>
    <n v="200"/>
    <n v="816"/>
    <n v="122400"/>
    <n v="163200"/>
    <n v="40800"/>
    <x v="3"/>
    <x v="3"/>
    <x v="11"/>
    <x v="2"/>
    <x v="1"/>
    <x v="11"/>
  </r>
  <r>
    <n v="10365"/>
    <x v="7"/>
    <s v="howard_freeman@yahoo.com"/>
    <x v="5"/>
    <n v="80"/>
    <n v="150"/>
    <n v="803"/>
    <n v="64240"/>
    <n v="120450"/>
    <n v="56210"/>
    <x v="4"/>
    <x v="4"/>
    <x v="0"/>
    <x v="2"/>
    <x v="1"/>
    <x v="0"/>
  </r>
  <r>
    <n v="10366"/>
    <x v="8"/>
    <s v="parentty@uk.com"/>
    <x v="6"/>
    <n v="90"/>
    <n v="150"/>
    <n v="744"/>
    <n v="66960"/>
    <n v="111600"/>
    <n v="44640"/>
    <x v="0"/>
    <x v="5"/>
    <x v="1"/>
    <x v="1"/>
    <x v="0"/>
    <x v="1"/>
  </r>
  <r>
    <n v="10367"/>
    <x v="3"/>
    <s v="jone.ai@yahoo.com"/>
    <x v="0"/>
    <n v="150"/>
    <n v="200"/>
    <n v="912"/>
    <n v="136800"/>
    <n v="182400"/>
    <n v="45600"/>
    <x v="1"/>
    <x v="0"/>
    <x v="2"/>
    <x v="2"/>
    <x v="0"/>
    <x v="2"/>
  </r>
  <r>
    <n v="10368"/>
    <x v="9"/>
    <s v="smithMan@yahoo.com"/>
    <x v="1"/>
    <n v="250"/>
    <n v="500"/>
    <n v="801"/>
    <n v="200250"/>
    <n v="400500"/>
    <n v="200250"/>
    <x v="2"/>
    <x v="1"/>
    <x v="3"/>
    <x v="1"/>
    <x v="1"/>
    <x v="3"/>
  </r>
  <r>
    <n v="10369"/>
    <x v="3"/>
    <s v="jone.ai@yahoo.com"/>
    <x v="2"/>
    <n v="180"/>
    <n v="450"/>
    <n v="720"/>
    <n v="129600"/>
    <n v="324000"/>
    <n v="194400"/>
    <x v="3"/>
    <x v="2"/>
    <x v="4"/>
    <x v="1"/>
    <x v="1"/>
    <x v="4"/>
  </r>
  <r>
    <n v="10370"/>
    <x v="6"/>
    <s v="morganny@gmail.com"/>
    <x v="3"/>
    <n v="170"/>
    <n v="250"/>
    <n v="983"/>
    <n v="167110"/>
    <n v="245750"/>
    <n v="78640"/>
    <x v="4"/>
    <x v="3"/>
    <x v="5"/>
    <x v="0"/>
    <x v="1"/>
    <x v="5"/>
  </r>
  <r>
    <n v="10371"/>
    <x v="3"/>
    <s v="jone.ai@yahoo.com"/>
    <x v="4"/>
    <n v="150"/>
    <n v="200"/>
    <n v="989"/>
    <n v="148350"/>
    <n v="197800"/>
    <n v="49450"/>
    <x v="0"/>
    <x v="4"/>
    <x v="6"/>
    <x v="0"/>
    <x v="0"/>
    <x v="6"/>
  </r>
  <r>
    <n v="10372"/>
    <x v="8"/>
    <s v="parentty@uk.com"/>
    <x v="5"/>
    <n v="80"/>
    <n v="150"/>
    <n v="996"/>
    <n v="79680"/>
    <n v="149400"/>
    <n v="69720"/>
    <x v="1"/>
    <x v="5"/>
    <x v="7"/>
    <x v="1"/>
    <x v="0"/>
    <x v="7"/>
  </r>
  <r>
    <n v="10373"/>
    <x v="10"/>
    <s v="kivel_go@yahoo.com"/>
    <x v="6"/>
    <n v="90"/>
    <n v="150"/>
    <n v="801"/>
    <n v="72090"/>
    <n v="120150"/>
    <n v="48060"/>
    <x v="2"/>
    <x v="0"/>
    <x v="8"/>
    <x v="2"/>
    <x v="1"/>
    <x v="8"/>
  </r>
  <r>
    <n v="10374"/>
    <x v="9"/>
    <s v="smithMan@yahoo.com"/>
    <x v="0"/>
    <n v="150"/>
    <n v="200"/>
    <n v="857"/>
    <n v="128550"/>
    <n v="171400"/>
    <n v="42850"/>
    <x v="3"/>
    <x v="1"/>
    <x v="9"/>
    <x v="0"/>
    <x v="1"/>
    <x v="9"/>
  </r>
  <r>
    <n v="10375"/>
    <x v="8"/>
    <s v="parentty@uk.com"/>
    <x v="1"/>
    <n v="250"/>
    <n v="500"/>
    <n v="928"/>
    <n v="232000"/>
    <n v="464000"/>
    <n v="232000"/>
    <x v="4"/>
    <x v="2"/>
    <x v="10"/>
    <x v="1"/>
    <x v="1"/>
    <x v="10"/>
  </r>
  <r>
    <n v="10376"/>
    <x v="1"/>
    <s v="gillhell@uk.com"/>
    <x v="2"/>
    <n v="180"/>
    <n v="450"/>
    <n v="788"/>
    <n v="141840"/>
    <n v="354600"/>
    <n v="212760"/>
    <x v="0"/>
    <x v="3"/>
    <x v="11"/>
    <x v="0"/>
    <x v="0"/>
    <x v="11"/>
  </r>
  <r>
    <n v="10377"/>
    <x v="9"/>
    <s v="smithMan@yahoo.com"/>
    <x v="3"/>
    <n v="170"/>
    <n v="250"/>
    <n v="795"/>
    <n v="135150"/>
    <n v="198750"/>
    <n v="63600"/>
    <x v="1"/>
    <x v="4"/>
    <x v="0"/>
    <x v="2"/>
    <x v="0"/>
    <x v="0"/>
  </r>
  <r>
    <n v="10378"/>
    <x v="3"/>
    <s v="jone.ai@yahoo.com"/>
    <x v="4"/>
    <n v="150"/>
    <n v="200"/>
    <n v="865"/>
    <n v="129750"/>
    <n v="173000"/>
    <n v="43250"/>
    <x v="2"/>
    <x v="5"/>
    <x v="1"/>
    <x v="0"/>
    <x v="1"/>
    <x v="1"/>
  </r>
  <r>
    <n v="10379"/>
    <x v="2"/>
    <s v="sorvi2000@gmail.com"/>
    <x v="5"/>
    <n v="80"/>
    <n v="150"/>
    <n v="798"/>
    <n v="63840"/>
    <n v="119700"/>
    <n v="55860"/>
    <x v="3"/>
    <x v="0"/>
    <x v="2"/>
    <x v="1"/>
    <x v="1"/>
    <x v="2"/>
  </r>
  <r>
    <n v="10380"/>
    <x v="0"/>
    <s v="jard@gmail.com"/>
    <x v="6"/>
    <n v="90"/>
    <n v="150"/>
    <n v="728"/>
    <n v="65520"/>
    <n v="109200"/>
    <n v="43680"/>
    <x v="4"/>
    <x v="1"/>
    <x v="3"/>
    <x v="1"/>
    <x v="1"/>
    <x v="3"/>
  </r>
  <r>
    <n v="10381"/>
    <x v="4"/>
    <s v="andy@gmail.com"/>
    <x v="0"/>
    <n v="150"/>
    <n v="200"/>
    <n v="948"/>
    <n v="142200"/>
    <n v="189600"/>
    <n v="47400"/>
    <x v="0"/>
    <x v="2"/>
    <x v="4"/>
    <x v="0"/>
    <x v="0"/>
    <x v="4"/>
  </r>
  <r>
    <n v="10382"/>
    <x v="7"/>
    <s v="howard_freeman@yahoo.com"/>
    <x v="1"/>
    <n v="250"/>
    <n v="500"/>
    <n v="863"/>
    <n v="215750"/>
    <n v="431500"/>
    <n v="215750"/>
    <x v="1"/>
    <x v="3"/>
    <x v="5"/>
    <x v="2"/>
    <x v="0"/>
    <x v="5"/>
  </r>
  <r>
    <n v="10383"/>
    <x v="1"/>
    <s v="gillhell@uk.com"/>
    <x v="2"/>
    <n v="180"/>
    <n v="450"/>
    <n v="913"/>
    <n v="164340"/>
    <n v="410850"/>
    <n v="246510"/>
    <x v="2"/>
    <x v="4"/>
    <x v="6"/>
    <x v="0"/>
    <x v="1"/>
    <x v="6"/>
  </r>
  <r>
    <n v="10384"/>
    <x v="1"/>
    <s v="gillhell@uk.com"/>
    <x v="3"/>
    <n v="170"/>
    <n v="250"/>
    <n v="711"/>
    <n v="120870"/>
    <n v="177750"/>
    <n v="56880"/>
    <x v="3"/>
    <x v="5"/>
    <x v="7"/>
    <x v="1"/>
    <x v="1"/>
    <x v="7"/>
  </r>
  <r>
    <n v="10385"/>
    <x v="10"/>
    <s v="kivel_go@yahoo.com"/>
    <x v="4"/>
    <n v="150"/>
    <n v="200"/>
    <n v="717"/>
    <n v="107550"/>
    <n v="143400"/>
    <n v="35850"/>
    <x v="4"/>
    <x v="0"/>
    <x v="8"/>
    <x v="0"/>
    <x v="1"/>
    <x v="8"/>
  </r>
  <r>
    <n v="10386"/>
    <x v="3"/>
    <s v="jone.ai@yahoo.com"/>
    <x v="5"/>
    <n v="80"/>
    <n v="150"/>
    <n v="862"/>
    <n v="68960"/>
    <n v="129300"/>
    <n v="60340"/>
    <x v="0"/>
    <x v="1"/>
    <x v="9"/>
    <x v="0"/>
    <x v="0"/>
    <x v="9"/>
  </r>
  <r>
    <n v="10387"/>
    <x v="6"/>
    <s v="morganny@gmail.com"/>
    <x v="6"/>
    <n v="90"/>
    <n v="150"/>
    <n v="703"/>
    <n v="63270"/>
    <n v="105450"/>
    <n v="42180"/>
    <x v="1"/>
    <x v="2"/>
    <x v="10"/>
    <x v="2"/>
    <x v="0"/>
    <x v="10"/>
  </r>
  <r>
    <n v="10388"/>
    <x v="10"/>
    <s v="kivel_go@yahoo.com"/>
    <x v="0"/>
    <n v="150"/>
    <n v="200"/>
    <n v="962"/>
    <n v="144300"/>
    <n v="192400"/>
    <n v="48100"/>
    <x v="2"/>
    <x v="3"/>
    <x v="11"/>
    <x v="1"/>
    <x v="1"/>
    <x v="11"/>
  </r>
  <r>
    <n v="10389"/>
    <x v="2"/>
    <s v="sorvi2000@gmail.com"/>
    <x v="1"/>
    <n v="250"/>
    <n v="500"/>
    <n v="807"/>
    <n v="201750"/>
    <n v="403500"/>
    <n v="201750"/>
    <x v="3"/>
    <x v="4"/>
    <x v="0"/>
    <x v="0"/>
    <x v="1"/>
    <x v="0"/>
  </r>
  <r>
    <n v="10390"/>
    <x v="1"/>
    <s v="gillhell@uk.com"/>
    <x v="2"/>
    <n v="180"/>
    <n v="450"/>
    <n v="950"/>
    <n v="171000"/>
    <n v="427500"/>
    <n v="256500"/>
    <x v="4"/>
    <x v="5"/>
    <x v="1"/>
    <x v="2"/>
    <x v="1"/>
    <x v="1"/>
  </r>
  <r>
    <n v="10391"/>
    <x v="2"/>
    <s v="sorvi2000@gmail.com"/>
    <x v="3"/>
    <n v="170"/>
    <n v="250"/>
    <n v="949"/>
    <n v="161330"/>
    <n v="237250"/>
    <n v="75920"/>
    <x v="0"/>
    <x v="0"/>
    <x v="2"/>
    <x v="2"/>
    <x v="0"/>
    <x v="2"/>
  </r>
  <r>
    <n v="10392"/>
    <x v="5"/>
    <s v="thomp@uk.com"/>
    <x v="4"/>
    <n v="150"/>
    <n v="200"/>
    <n v="724"/>
    <n v="108600"/>
    <n v="144800"/>
    <n v="36200"/>
    <x v="1"/>
    <x v="1"/>
    <x v="3"/>
    <x v="2"/>
    <x v="0"/>
    <x v="3"/>
  </r>
  <r>
    <n v="10393"/>
    <x v="4"/>
    <s v="andy@gmail.com"/>
    <x v="5"/>
    <n v="80"/>
    <n v="150"/>
    <n v="717"/>
    <n v="57360"/>
    <n v="107550"/>
    <n v="50190"/>
    <x v="2"/>
    <x v="2"/>
    <x v="4"/>
    <x v="0"/>
    <x v="1"/>
    <x v="4"/>
  </r>
  <r>
    <n v="10394"/>
    <x v="0"/>
    <s v="jard@gmail.com"/>
    <x v="6"/>
    <n v="90"/>
    <n v="150"/>
    <n v="933"/>
    <n v="83970"/>
    <n v="139950"/>
    <n v="55980"/>
    <x v="3"/>
    <x v="3"/>
    <x v="5"/>
    <x v="2"/>
    <x v="1"/>
    <x v="5"/>
  </r>
  <r>
    <n v="10395"/>
    <x v="0"/>
    <s v="jard@gmail.com"/>
    <x v="0"/>
    <n v="150"/>
    <n v="200"/>
    <n v="930"/>
    <n v="139500"/>
    <n v="186000"/>
    <n v="46500"/>
    <x v="4"/>
    <x v="4"/>
    <x v="6"/>
    <x v="1"/>
    <x v="1"/>
    <x v="6"/>
  </r>
  <r>
    <n v="10396"/>
    <x v="4"/>
    <s v="andy@gmail.com"/>
    <x v="1"/>
    <n v="250"/>
    <n v="500"/>
    <n v="959"/>
    <n v="239750"/>
    <n v="479500"/>
    <n v="239750"/>
    <x v="0"/>
    <x v="5"/>
    <x v="7"/>
    <x v="1"/>
    <x v="0"/>
    <x v="7"/>
  </r>
  <r>
    <n v="10397"/>
    <x v="3"/>
    <s v="jone.ai@yahoo.com"/>
    <x v="2"/>
    <n v="180"/>
    <n v="450"/>
    <n v="922"/>
    <n v="165960"/>
    <n v="414900"/>
    <n v="248940"/>
    <x v="1"/>
    <x v="0"/>
    <x v="8"/>
    <x v="2"/>
    <x v="0"/>
    <x v="8"/>
  </r>
  <r>
    <n v="10398"/>
    <x v="6"/>
    <s v="morganny@gmail.com"/>
    <x v="3"/>
    <n v="170"/>
    <n v="250"/>
    <n v="957"/>
    <n v="162690"/>
    <n v="239250"/>
    <n v="76560"/>
    <x v="2"/>
    <x v="1"/>
    <x v="9"/>
    <x v="0"/>
    <x v="1"/>
    <x v="9"/>
  </r>
  <r>
    <n v="10399"/>
    <x v="10"/>
    <s v="kivel_go@yahoo.com"/>
    <x v="4"/>
    <n v="150"/>
    <n v="200"/>
    <n v="958"/>
    <n v="143700"/>
    <n v="191600"/>
    <n v="47900"/>
    <x v="3"/>
    <x v="2"/>
    <x v="10"/>
    <x v="1"/>
    <x v="1"/>
    <x v="10"/>
  </r>
  <r>
    <n v="10400"/>
    <x v="2"/>
    <s v="sorvi2000@gmail.com"/>
    <x v="5"/>
    <n v="80"/>
    <n v="150"/>
    <n v="784"/>
    <n v="62720"/>
    <n v="117600"/>
    <n v="54880"/>
    <x v="4"/>
    <x v="3"/>
    <x v="11"/>
    <x v="1"/>
    <x v="1"/>
    <x v="11"/>
  </r>
  <r>
    <n v="10401"/>
    <x v="1"/>
    <s v="gillhell@uk.com"/>
    <x v="6"/>
    <n v="90"/>
    <n v="150"/>
    <n v="966"/>
    <n v="86940"/>
    <n v="144900"/>
    <n v="57960"/>
    <x v="0"/>
    <x v="4"/>
    <x v="0"/>
    <x v="0"/>
    <x v="0"/>
    <x v="0"/>
  </r>
  <r>
    <n v="10402"/>
    <x v="2"/>
    <s v="sorvi2000@gmail.com"/>
    <x v="0"/>
    <n v="150"/>
    <n v="200"/>
    <n v="784"/>
    <n v="117600"/>
    <n v="156800"/>
    <n v="39200"/>
    <x v="1"/>
    <x v="5"/>
    <x v="1"/>
    <x v="1"/>
    <x v="0"/>
    <x v="1"/>
  </r>
  <r>
    <n v="10403"/>
    <x v="5"/>
    <s v="thomp@uk.com"/>
    <x v="1"/>
    <n v="250"/>
    <n v="500"/>
    <n v="998"/>
    <n v="249500"/>
    <n v="499000"/>
    <n v="249500"/>
    <x v="2"/>
    <x v="0"/>
    <x v="2"/>
    <x v="2"/>
    <x v="1"/>
    <x v="2"/>
  </r>
  <r>
    <n v="10404"/>
    <x v="4"/>
    <s v="andy@gmail.com"/>
    <x v="2"/>
    <n v="180"/>
    <n v="450"/>
    <n v="951"/>
    <n v="171180"/>
    <n v="427950"/>
    <n v="256770"/>
    <x v="3"/>
    <x v="1"/>
    <x v="3"/>
    <x v="1"/>
    <x v="1"/>
    <x v="3"/>
  </r>
  <r>
    <n v="10405"/>
    <x v="0"/>
    <s v="jard@gmail.com"/>
    <x v="3"/>
    <n v="170"/>
    <n v="250"/>
    <n v="973"/>
    <n v="165410"/>
    <n v="243250"/>
    <n v="77840"/>
    <x v="4"/>
    <x v="2"/>
    <x v="4"/>
    <x v="0"/>
    <x v="1"/>
    <x v="4"/>
  </r>
  <r>
    <n v="10406"/>
    <x v="0"/>
    <s v="jard@gmail.com"/>
    <x v="4"/>
    <n v="150"/>
    <n v="200"/>
    <n v="704"/>
    <n v="105600"/>
    <n v="140800"/>
    <n v="35200"/>
    <x v="0"/>
    <x v="3"/>
    <x v="5"/>
    <x v="2"/>
    <x v="0"/>
    <x v="5"/>
  </r>
  <r>
    <n v="10407"/>
    <x v="4"/>
    <s v="andy@gmail.com"/>
    <x v="5"/>
    <n v="80"/>
    <n v="150"/>
    <n v="748"/>
    <n v="59840"/>
    <n v="112200"/>
    <n v="52360"/>
    <x v="1"/>
    <x v="4"/>
    <x v="6"/>
    <x v="0"/>
    <x v="0"/>
    <x v="6"/>
  </r>
  <r>
    <n v="10408"/>
    <x v="0"/>
    <s v="jard@gmail.com"/>
    <x v="6"/>
    <n v="90"/>
    <n v="150"/>
    <n v="972"/>
    <n v="87480"/>
    <n v="145800"/>
    <n v="58320"/>
    <x v="2"/>
    <x v="5"/>
    <x v="7"/>
    <x v="2"/>
    <x v="1"/>
    <x v="7"/>
  </r>
  <r>
    <n v="10409"/>
    <x v="1"/>
    <s v="gillhell@uk.com"/>
    <x v="0"/>
    <n v="150"/>
    <n v="200"/>
    <n v="859"/>
    <n v="128850"/>
    <n v="171800"/>
    <n v="42950"/>
    <x v="3"/>
    <x v="0"/>
    <x v="8"/>
    <x v="2"/>
    <x v="1"/>
    <x v="8"/>
  </r>
  <r>
    <n v="10410"/>
    <x v="2"/>
    <s v="sorvi2000@gmail.com"/>
    <x v="1"/>
    <n v="250"/>
    <n v="500"/>
    <n v="825"/>
    <n v="206250"/>
    <n v="412500"/>
    <n v="206250"/>
    <x v="4"/>
    <x v="1"/>
    <x v="9"/>
    <x v="2"/>
    <x v="1"/>
    <x v="9"/>
  </r>
  <r>
    <n v="10411"/>
    <x v="3"/>
    <s v="jone.ai@yahoo.com"/>
    <x v="2"/>
    <n v="180"/>
    <n v="450"/>
    <n v="997"/>
    <n v="179460"/>
    <n v="448650"/>
    <n v="269190"/>
    <x v="0"/>
    <x v="2"/>
    <x v="10"/>
    <x v="0"/>
    <x v="0"/>
    <x v="10"/>
  </r>
  <r>
    <n v="10412"/>
    <x v="4"/>
    <s v="andy@gmail.com"/>
    <x v="3"/>
    <n v="170"/>
    <n v="250"/>
    <n v="789"/>
    <n v="134130"/>
    <n v="197250"/>
    <n v="63120"/>
    <x v="1"/>
    <x v="3"/>
    <x v="11"/>
    <x v="0"/>
    <x v="0"/>
    <x v="11"/>
  </r>
  <r>
    <n v="10413"/>
    <x v="0"/>
    <s v="jard@gmail.com"/>
    <x v="4"/>
    <n v="150"/>
    <n v="200"/>
    <n v="934"/>
    <n v="140100"/>
    <n v="186800"/>
    <n v="46700"/>
    <x v="2"/>
    <x v="4"/>
    <x v="0"/>
    <x v="0"/>
    <x v="1"/>
    <x v="0"/>
  </r>
  <r>
    <n v="10414"/>
    <x v="5"/>
    <s v="thomp@uk.com"/>
    <x v="5"/>
    <n v="80"/>
    <n v="150"/>
    <n v="773"/>
    <n v="61840"/>
    <n v="115950"/>
    <n v="54110"/>
    <x v="3"/>
    <x v="5"/>
    <x v="1"/>
    <x v="2"/>
    <x v="1"/>
    <x v="1"/>
  </r>
  <r>
    <n v="10415"/>
    <x v="3"/>
    <s v="jone.ai@yahoo.com"/>
    <x v="6"/>
    <n v="90"/>
    <n v="150"/>
    <n v="786"/>
    <n v="70740"/>
    <n v="117900"/>
    <n v="47160"/>
    <x v="4"/>
    <x v="0"/>
    <x v="2"/>
    <x v="2"/>
    <x v="1"/>
    <x v="2"/>
  </r>
  <r>
    <n v="10416"/>
    <x v="6"/>
    <s v="morganny@gmail.com"/>
    <x v="0"/>
    <n v="150"/>
    <n v="200"/>
    <n v="991"/>
    <n v="148650"/>
    <n v="198200"/>
    <n v="49550"/>
    <x v="0"/>
    <x v="1"/>
    <x v="3"/>
    <x v="2"/>
    <x v="0"/>
    <x v="3"/>
  </r>
  <r>
    <n v="10417"/>
    <x v="7"/>
    <s v="howard_freeman@yahoo.com"/>
    <x v="1"/>
    <n v="250"/>
    <n v="500"/>
    <n v="886"/>
    <n v="221500"/>
    <n v="443000"/>
    <n v="221500"/>
    <x v="1"/>
    <x v="2"/>
    <x v="4"/>
    <x v="2"/>
    <x v="0"/>
    <x v="4"/>
  </r>
  <r>
    <n v="10418"/>
    <x v="8"/>
    <s v="parentty@uk.com"/>
    <x v="2"/>
    <n v="180"/>
    <n v="450"/>
    <n v="987"/>
    <n v="177660"/>
    <n v="444150"/>
    <n v="266490"/>
    <x v="2"/>
    <x v="3"/>
    <x v="5"/>
    <x v="1"/>
    <x v="1"/>
    <x v="5"/>
  </r>
  <r>
    <n v="10419"/>
    <x v="3"/>
    <s v="jone.ai@yahoo.com"/>
    <x v="3"/>
    <n v="170"/>
    <n v="250"/>
    <n v="772"/>
    <n v="131240"/>
    <n v="193000"/>
    <n v="61760"/>
    <x v="3"/>
    <x v="4"/>
    <x v="6"/>
    <x v="1"/>
    <x v="1"/>
    <x v="6"/>
  </r>
  <r>
    <n v="10420"/>
    <x v="9"/>
    <s v="smithMan@yahoo.com"/>
    <x v="4"/>
    <n v="150"/>
    <n v="200"/>
    <n v="760"/>
    <n v="114000"/>
    <n v="152000"/>
    <n v="38000"/>
    <x v="4"/>
    <x v="5"/>
    <x v="7"/>
    <x v="1"/>
    <x v="1"/>
    <x v="7"/>
  </r>
  <r>
    <n v="10421"/>
    <x v="3"/>
    <s v="jone.ai@yahoo.com"/>
    <x v="5"/>
    <n v="80"/>
    <n v="150"/>
    <n v="778"/>
    <n v="62240"/>
    <n v="116700"/>
    <n v="54460"/>
    <x v="0"/>
    <x v="0"/>
    <x v="8"/>
    <x v="2"/>
    <x v="0"/>
    <x v="8"/>
  </r>
  <r>
    <n v="10422"/>
    <x v="0"/>
    <s v="jard@gmail.com"/>
    <x v="6"/>
    <n v="90"/>
    <n v="150"/>
    <n v="716"/>
    <n v="64440"/>
    <n v="107400"/>
    <n v="42960"/>
    <x v="1"/>
    <x v="1"/>
    <x v="9"/>
    <x v="0"/>
    <x v="0"/>
    <x v="9"/>
  </r>
  <r>
    <n v="10423"/>
    <x v="1"/>
    <s v="gillhell@uk.com"/>
    <x v="0"/>
    <n v="150"/>
    <n v="200"/>
    <n v="775"/>
    <n v="116250"/>
    <n v="155000"/>
    <n v="38750"/>
    <x v="2"/>
    <x v="2"/>
    <x v="10"/>
    <x v="1"/>
    <x v="1"/>
    <x v="10"/>
  </r>
  <r>
    <n v="10424"/>
    <x v="2"/>
    <s v="sorvi2000@gmail.com"/>
    <x v="1"/>
    <n v="250"/>
    <n v="500"/>
    <n v="860"/>
    <n v="215000"/>
    <n v="430000"/>
    <n v="215000"/>
    <x v="3"/>
    <x v="3"/>
    <x v="11"/>
    <x v="2"/>
    <x v="1"/>
    <x v="11"/>
  </r>
  <r>
    <n v="10425"/>
    <x v="3"/>
    <s v="jone.ai@yahoo.com"/>
    <x v="2"/>
    <n v="180"/>
    <n v="450"/>
    <n v="895"/>
    <n v="161100"/>
    <n v="402750"/>
    <n v="241650"/>
    <x v="4"/>
    <x v="4"/>
    <x v="0"/>
    <x v="2"/>
    <x v="1"/>
    <x v="0"/>
  </r>
  <r>
    <n v="10426"/>
    <x v="4"/>
    <s v="andy@gmail.com"/>
    <x v="3"/>
    <n v="170"/>
    <n v="250"/>
    <n v="929"/>
    <n v="157930"/>
    <n v="232250"/>
    <n v="74320"/>
    <x v="0"/>
    <x v="5"/>
    <x v="1"/>
    <x v="0"/>
    <x v="0"/>
    <x v="1"/>
  </r>
  <r>
    <n v="10427"/>
    <x v="0"/>
    <s v="jard@gmail.com"/>
    <x v="4"/>
    <n v="150"/>
    <n v="200"/>
    <n v="759"/>
    <n v="113850"/>
    <n v="151800"/>
    <n v="37950"/>
    <x v="1"/>
    <x v="0"/>
    <x v="2"/>
    <x v="1"/>
    <x v="0"/>
    <x v="2"/>
  </r>
  <r>
    <n v="10428"/>
    <x v="5"/>
    <s v="thomp@uk.com"/>
    <x v="5"/>
    <n v="80"/>
    <n v="150"/>
    <n v="765"/>
    <n v="61200"/>
    <n v="114750"/>
    <n v="53550"/>
    <x v="2"/>
    <x v="1"/>
    <x v="3"/>
    <x v="2"/>
    <x v="1"/>
    <x v="3"/>
  </r>
  <r>
    <n v="10429"/>
    <x v="3"/>
    <s v="jone.ai@yahoo.com"/>
    <x v="6"/>
    <n v="90"/>
    <n v="150"/>
    <n v="861"/>
    <n v="77490"/>
    <n v="129150"/>
    <n v="51660"/>
    <x v="3"/>
    <x v="2"/>
    <x v="4"/>
    <x v="0"/>
    <x v="1"/>
    <x v="4"/>
  </r>
  <r>
    <n v="10430"/>
    <x v="6"/>
    <s v="morganny@gmail.com"/>
    <x v="0"/>
    <n v="150"/>
    <n v="200"/>
    <n v="790"/>
    <n v="118500"/>
    <n v="158000"/>
    <n v="39500"/>
    <x v="4"/>
    <x v="3"/>
    <x v="5"/>
    <x v="1"/>
    <x v="1"/>
    <x v="5"/>
  </r>
  <r>
    <n v="10431"/>
    <x v="7"/>
    <s v="howard_freeman@yahoo.com"/>
    <x v="1"/>
    <n v="250"/>
    <n v="500"/>
    <n v="831"/>
    <n v="207750"/>
    <n v="415500"/>
    <n v="207750"/>
    <x v="0"/>
    <x v="4"/>
    <x v="6"/>
    <x v="2"/>
    <x v="0"/>
    <x v="6"/>
  </r>
  <r>
    <n v="10432"/>
    <x v="8"/>
    <s v="parentty@uk.com"/>
    <x v="2"/>
    <n v="180"/>
    <n v="450"/>
    <n v="879"/>
    <n v="158220"/>
    <n v="395550"/>
    <n v="237330"/>
    <x v="1"/>
    <x v="5"/>
    <x v="7"/>
    <x v="2"/>
    <x v="0"/>
    <x v="7"/>
  </r>
  <r>
    <n v="10433"/>
    <x v="3"/>
    <s v="jone.ai@yahoo.com"/>
    <x v="3"/>
    <n v="170"/>
    <n v="250"/>
    <n v="756"/>
    <n v="128520"/>
    <n v="189000"/>
    <n v="60480"/>
    <x v="2"/>
    <x v="0"/>
    <x v="8"/>
    <x v="2"/>
    <x v="1"/>
    <x v="8"/>
  </r>
  <r>
    <n v="10434"/>
    <x v="9"/>
    <s v="smithMan@yahoo.com"/>
    <x v="4"/>
    <n v="150"/>
    <n v="200"/>
    <n v="888"/>
    <n v="133200"/>
    <n v="177600"/>
    <n v="44400"/>
    <x v="3"/>
    <x v="1"/>
    <x v="9"/>
    <x v="2"/>
    <x v="1"/>
    <x v="9"/>
  </r>
  <r>
    <n v="10435"/>
    <x v="3"/>
    <s v="jone.ai@yahoo.com"/>
    <x v="5"/>
    <n v="80"/>
    <n v="150"/>
    <n v="859"/>
    <n v="68720"/>
    <n v="128850"/>
    <n v="60130"/>
    <x v="4"/>
    <x v="2"/>
    <x v="10"/>
    <x v="2"/>
    <x v="1"/>
    <x v="10"/>
  </r>
  <r>
    <n v="10436"/>
    <x v="6"/>
    <s v="morganny@gmail.com"/>
    <x v="6"/>
    <n v="90"/>
    <n v="150"/>
    <n v="761"/>
    <n v="68490"/>
    <n v="114150"/>
    <n v="45660"/>
    <x v="0"/>
    <x v="3"/>
    <x v="11"/>
    <x v="1"/>
    <x v="0"/>
    <x v="11"/>
  </r>
  <r>
    <n v="10437"/>
    <x v="3"/>
    <s v="jone.ai@yahoo.com"/>
    <x v="0"/>
    <n v="150"/>
    <n v="200"/>
    <n v="989"/>
    <n v="148350"/>
    <n v="197800"/>
    <n v="49450"/>
    <x v="1"/>
    <x v="4"/>
    <x v="0"/>
    <x v="1"/>
    <x v="0"/>
    <x v="0"/>
  </r>
  <r>
    <n v="10438"/>
    <x v="8"/>
    <s v="parentty@uk.com"/>
    <x v="1"/>
    <n v="250"/>
    <n v="500"/>
    <n v="824"/>
    <n v="206000"/>
    <n v="412000"/>
    <n v="206000"/>
    <x v="2"/>
    <x v="5"/>
    <x v="1"/>
    <x v="1"/>
    <x v="1"/>
    <x v="1"/>
  </r>
  <r>
    <n v="10439"/>
    <x v="10"/>
    <s v="kivel_go@yahoo.com"/>
    <x v="2"/>
    <n v="180"/>
    <n v="450"/>
    <n v="775"/>
    <n v="139500"/>
    <n v="348750"/>
    <n v="209250"/>
    <x v="3"/>
    <x v="0"/>
    <x v="2"/>
    <x v="1"/>
    <x v="1"/>
    <x v="2"/>
  </r>
  <r>
    <n v="10440"/>
    <x v="9"/>
    <s v="smithMan@yahoo.com"/>
    <x v="3"/>
    <n v="170"/>
    <n v="250"/>
    <n v="980"/>
    <n v="166600"/>
    <n v="245000"/>
    <n v="78400"/>
    <x v="4"/>
    <x v="1"/>
    <x v="3"/>
    <x v="2"/>
    <x v="1"/>
    <x v="3"/>
  </r>
  <r>
    <n v="10441"/>
    <x v="8"/>
    <s v="parentty@uk.com"/>
    <x v="4"/>
    <n v="150"/>
    <n v="200"/>
    <n v="828"/>
    <n v="124200"/>
    <n v="165600"/>
    <n v="41400"/>
    <x v="0"/>
    <x v="2"/>
    <x v="4"/>
    <x v="0"/>
    <x v="0"/>
    <x v="4"/>
  </r>
  <r>
    <n v="10442"/>
    <x v="1"/>
    <s v="gillhell@uk.com"/>
    <x v="5"/>
    <n v="80"/>
    <n v="150"/>
    <n v="711"/>
    <n v="56880"/>
    <n v="106650"/>
    <n v="49770"/>
    <x v="1"/>
    <x v="3"/>
    <x v="5"/>
    <x v="0"/>
    <x v="0"/>
    <x v="5"/>
  </r>
  <r>
    <n v="10443"/>
    <x v="9"/>
    <s v="smithMan@yahoo.com"/>
    <x v="6"/>
    <n v="90"/>
    <n v="150"/>
    <n v="817"/>
    <n v="73530"/>
    <n v="122550"/>
    <n v="49020"/>
    <x v="2"/>
    <x v="4"/>
    <x v="6"/>
    <x v="1"/>
    <x v="1"/>
    <x v="6"/>
  </r>
  <r>
    <n v="10444"/>
    <x v="3"/>
    <s v="jone.ai@yahoo.com"/>
    <x v="0"/>
    <n v="150"/>
    <n v="200"/>
    <n v="829"/>
    <n v="124350"/>
    <n v="165800"/>
    <n v="41450"/>
    <x v="3"/>
    <x v="5"/>
    <x v="7"/>
    <x v="1"/>
    <x v="1"/>
    <x v="7"/>
  </r>
  <r>
    <n v="10445"/>
    <x v="2"/>
    <s v="sorvi2000@gmail.com"/>
    <x v="1"/>
    <n v="250"/>
    <n v="500"/>
    <n v="872"/>
    <n v="218000"/>
    <n v="436000"/>
    <n v="218000"/>
    <x v="4"/>
    <x v="0"/>
    <x v="8"/>
    <x v="1"/>
    <x v="1"/>
    <x v="8"/>
  </r>
  <r>
    <n v="10446"/>
    <x v="0"/>
    <s v="jard@gmail.com"/>
    <x v="2"/>
    <n v="180"/>
    <n v="450"/>
    <n v="715"/>
    <n v="128700"/>
    <n v="321750"/>
    <n v="193050"/>
    <x v="0"/>
    <x v="1"/>
    <x v="9"/>
    <x v="1"/>
    <x v="0"/>
    <x v="9"/>
  </r>
  <r>
    <n v="10447"/>
    <x v="4"/>
    <s v="andy@gmail.com"/>
    <x v="3"/>
    <n v="170"/>
    <n v="250"/>
    <n v="939"/>
    <n v="159630"/>
    <n v="234750"/>
    <n v="75120"/>
    <x v="1"/>
    <x v="2"/>
    <x v="10"/>
    <x v="0"/>
    <x v="0"/>
    <x v="10"/>
  </r>
  <r>
    <n v="10448"/>
    <x v="7"/>
    <s v="howard_freeman@yahoo.com"/>
    <x v="4"/>
    <n v="150"/>
    <n v="200"/>
    <n v="891"/>
    <n v="133650"/>
    <n v="178200"/>
    <n v="44550"/>
    <x v="2"/>
    <x v="3"/>
    <x v="11"/>
    <x v="2"/>
    <x v="1"/>
    <x v="11"/>
  </r>
  <r>
    <n v="10449"/>
    <x v="1"/>
    <s v="gillhell@uk.com"/>
    <x v="5"/>
    <n v="80"/>
    <n v="150"/>
    <n v="736"/>
    <n v="58880"/>
    <n v="110400"/>
    <n v="51520"/>
    <x v="3"/>
    <x v="4"/>
    <x v="0"/>
    <x v="1"/>
    <x v="1"/>
    <x v="0"/>
  </r>
  <r>
    <n v="10450"/>
    <x v="1"/>
    <s v="gillhell@uk.com"/>
    <x v="6"/>
    <n v="90"/>
    <n v="150"/>
    <n v="797"/>
    <n v="71730"/>
    <n v="119550"/>
    <n v="47820"/>
    <x v="4"/>
    <x v="5"/>
    <x v="1"/>
    <x v="2"/>
    <x v="1"/>
    <x v="1"/>
  </r>
  <r>
    <n v="10451"/>
    <x v="10"/>
    <s v="kivel_go@yahoo.com"/>
    <x v="0"/>
    <n v="150"/>
    <n v="200"/>
    <n v="913"/>
    <n v="136950"/>
    <n v="182600"/>
    <n v="45650"/>
    <x v="0"/>
    <x v="0"/>
    <x v="2"/>
    <x v="2"/>
    <x v="0"/>
    <x v="2"/>
  </r>
  <r>
    <n v="10452"/>
    <x v="3"/>
    <s v="jone.ai@yahoo.com"/>
    <x v="1"/>
    <n v="250"/>
    <n v="500"/>
    <n v="710"/>
    <n v="177500"/>
    <n v="355000"/>
    <n v="177500"/>
    <x v="1"/>
    <x v="1"/>
    <x v="3"/>
    <x v="2"/>
    <x v="0"/>
    <x v="3"/>
  </r>
  <r>
    <n v="10453"/>
    <x v="6"/>
    <s v="morganny@gmail.com"/>
    <x v="2"/>
    <n v="180"/>
    <n v="450"/>
    <n v="832"/>
    <n v="149760"/>
    <n v="374400"/>
    <n v="224640"/>
    <x v="2"/>
    <x v="2"/>
    <x v="4"/>
    <x v="0"/>
    <x v="1"/>
    <x v="4"/>
  </r>
  <r>
    <n v="10454"/>
    <x v="10"/>
    <s v="kivel_go@yahoo.com"/>
    <x v="3"/>
    <n v="170"/>
    <n v="250"/>
    <n v="952"/>
    <n v="161840"/>
    <n v="238000"/>
    <n v="76160"/>
    <x v="3"/>
    <x v="3"/>
    <x v="5"/>
    <x v="0"/>
    <x v="1"/>
    <x v="5"/>
  </r>
  <r>
    <n v="10455"/>
    <x v="2"/>
    <s v="sorvi2000@gmail.com"/>
    <x v="4"/>
    <n v="150"/>
    <n v="200"/>
    <n v="967"/>
    <n v="145050"/>
    <n v="193400"/>
    <n v="48350"/>
    <x v="4"/>
    <x v="4"/>
    <x v="6"/>
    <x v="2"/>
    <x v="1"/>
    <x v="6"/>
  </r>
  <r>
    <n v="10456"/>
    <x v="1"/>
    <s v="gillhell@uk.com"/>
    <x v="5"/>
    <n v="80"/>
    <n v="150"/>
    <n v="879"/>
    <n v="70320"/>
    <n v="131850"/>
    <n v="61530"/>
    <x v="0"/>
    <x v="5"/>
    <x v="7"/>
    <x v="1"/>
    <x v="0"/>
    <x v="7"/>
  </r>
  <r>
    <n v="10457"/>
    <x v="2"/>
    <s v="sorvi2000@gmail.com"/>
    <x v="6"/>
    <n v="90"/>
    <n v="150"/>
    <n v="705"/>
    <n v="63450"/>
    <n v="105750"/>
    <n v="42300"/>
    <x v="1"/>
    <x v="0"/>
    <x v="8"/>
    <x v="1"/>
    <x v="0"/>
    <x v="8"/>
  </r>
  <r>
    <n v="10458"/>
    <x v="5"/>
    <s v="thomp@uk.com"/>
    <x v="0"/>
    <n v="150"/>
    <n v="200"/>
    <n v="878"/>
    <n v="131700"/>
    <n v="175600"/>
    <n v="43900"/>
    <x v="2"/>
    <x v="1"/>
    <x v="9"/>
    <x v="1"/>
    <x v="1"/>
    <x v="9"/>
  </r>
  <r>
    <n v="10459"/>
    <x v="4"/>
    <s v="andy@gmail.com"/>
    <x v="1"/>
    <n v="250"/>
    <n v="500"/>
    <n v="903"/>
    <n v="225750"/>
    <n v="451500"/>
    <n v="225750"/>
    <x v="3"/>
    <x v="2"/>
    <x v="10"/>
    <x v="1"/>
    <x v="1"/>
    <x v="10"/>
  </r>
  <r>
    <n v="10460"/>
    <x v="0"/>
    <s v="jard@gmail.com"/>
    <x v="2"/>
    <n v="180"/>
    <n v="450"/>
    <n v="791"/>
    <n v="142380"/>
    <n v="355950"/>
    <n v="213570"/>
    <x v="4"/>
    <x v="3"/>
    <x v="11"/>
    <x v="1"/>
    <x v="1"/>
    <x v="11"/>
  </r>
  <r>
    <n v="10461"/>
    <x v="0"/>
    <s v="jard@gmail.com"/>
    <x v="3"/>
    <n v="170"/>
    <n v="250"/>
    <n v="895"/>
    <n v="152150"/>
    <n v="223750"/>
    <n v="71600"/>
    <x v="0"/>
    <x v="4"/>
    <x v="0"/>
    <x v="1"/>
    <x v="0"/>
    <x v="0"/>
  </r>
  <r>
    <n v="10462"/>
    <x v="4"/>
    <s v="andy@gmail.com"/>
    <x v="4"/>
    <n v="150"/>
    <n v="200"/>
    <n v="759"/>
    <n v="113850"/>
    <n v="151800"/>
    <n v="37950"/>
    <x v="1"/>
    <x v="5"/>
    <x v="1"/>
    <x v="1"/>
    <x v="0"/>
    <x v="1"/>
  </r>
  <r>
    <n v="10463"/>
    <x v="0"/>
    <s v="jard@gmail.com"/>
    <x v="5"/>
    <n v="80"/>
    <n v="150"/>
    <n v="790"/>
    <n v="63200"/>
    <n v="118500"/>
    <n v="55300"/>
    <x v="2"/>
    <x v="0"/>
    <x v="2"/>
    <x v="2"/>
    <x v="1"/>
    <x v="2"/>
  </r>
  <r>
    <n v="10464"/>
    <x v="1"/>
    <s v="gillhell@uk.com"/>
    <x v="6"/>
    <n v="90"/>
    <n v="150"/>
    <n v="722"/>
    <n v="64980"/>
    <n v="108300"/>
    <n v="43320"/>
    <x v="3"/>
    <x v="1"/>
    <x v="3"/>
    <x v="2"/>
    <x v="1"/>
    <x v="3"/>
  </r>
  <r>
    <n v="10465"/>
    <x v="2"/>
    <s v="sorvi2000@gmail.com"/>
    <x v="0"/>
    <n v="150"/>
    <n v="200"/>
    <n v="888"/>
    <n v="133200"/>
    <n v="177600"/>
    <n v="44400"/>
    <x v="4"/>
    <x v="2"/>
    <x v="4"/>
    <x v="0"/>
    <x v="1"/>
    <x v="4"/>
  </r>
  <r>
    <n v="10466"/>
    <x v="3"/>
    <s v="jone.ai@yahoo.com"/>
    <x v="1"/>
    <n v="250"/>
    <n v="500"/>
    <n v="849"/>
    <n v="212250"/>
    <n v="424500"/>
    <n v="212250"/>
    <x v="0"/>
    <x v="3"/>
    <x v="5"/>
    <x v="1"/>
    <x v="0"/>
    <x v="5"/>
  </r>
  <r>
    <n v="10467"/>
    <x v="4"/>
    <s v="andy@gmail.com"/>
    <x v="2"/>
    <n v="180"/>
    <n v="450"/>
    <n v="736"/>
    <n v="132480"/>
    <n v="331200"/>
    <n v="198720"/>
    <x v="1"/>
    <x v="4"/>
    <x v="6"/>
    <x v="1"/>
    <x v="0"/>
    <x v="6"/>
  </r>
  <r>
    <n v="10468"/>
    <x v="0"/>
    <s v="jard@gmail.com"/>
    <x v="3"/>
    <n v="170"/>
    <n v="250"/>
    <n v="843"/>
    <n v="143310"/>
    <n v="210750"/>
    <n v="67440"/>
    <x v="2"/>
    <x v="5"/>
    <x v="7"/>
    <x v="0"/>
    <x v="1"/>
    <x v="7"/>
  </r>
  <r>
    <n v="10469"/>
    <x v="5"/>
    <s v="thomp@uk.com"/>
    <x v="4"/>
    <n v="150"/>
    <n v="200"/>
    <n v="999"/>
    <n v="149850"/>
    <n v="199800"/>
    <n v="49950"/>
    <x v="3"/>
    <x v="0"/>
    <x v="8"/>
    <x v="1"/>
    <x v="1"/>
    <x v="8"/>
  </r>
  <r>
    <n v="10470"/>
    <x v="3"/>
    <s v="jone.ai@yahoo.com"/>
    <x v="5"/>
    <n v="80"/>
    <n v="150"/>
    <n v="996"/>
    <n v="79680"/>
    <n v="149400"/>
    <n v="69720"/>
    <x v="4"/>
    <x v="1"/>
    <x v="9"/>
    <x v="1"/>
    <x v="1"/>
    <x v="9"/>
  </r>
  <r>
    <n v="10471"/>
    <x v="6"/>
    <s v="morganny@gmail.com"/>
    <x v="6"/>
    <n v="90"/>
    <n v="150"/>
    <n v="718"/>
    <n v="64620"/>
    <n v="107700"/>
    <n v="43080"/>
    <x v="0"/>
    <x v="2"/>
    <x v="10"/>
    <x v="2"/>
    <x v="0"/>
    <x v="10"/>
  </r>
  <r>
    <n v="10472"/>
    <x v="7"/>
    <s v="howard_freeman@yahoo.com"/>
    <x v="0"/>
    <n v="150"/>
    <n v="200"/>
    <n v="700"/>
    <n v="105000"/>
    <n v="140000"/>
    <n v="35000"/>
    <x v="1"/>
    <x v="3"/>
    <x v="11"/>
    <x v="2"/>
    <x v="0"/>
    <x v="11"/>
  </r>
  <r>
    <n v="10473"/>
    <x v="8"/>
    <s v="parentty@uk.com"/>
    <x v="1"/>
    <n v="250"/>
    <n v="500"/>
    <n v="827"/>
    <n v="206750"/>
    <n v="413500"/>
    <n v="206750"/>
    <x v="2"/>
    <x v="4"/>
    <x v="0"/>
    <x v="1"/>
    <x v="1"/>
    <x v="0"/>
  </r>
  <r>
    <n v="10474"/>
    <x v="3"/>
    <s v="jone.ai@yahoo.com"/>
    <x v="2"/>
    <n v="180"/>
    <n v="450"/>
    <n v="755"/>
    <n v="135900"/>
    <n v="339750"/>
    <n v="203850"/>
    <x v="3"/>
    <x v="5"/>
    <x v="1"/>
    <x v="1"/>
    <x v="1"/>
    <x v="1"/>
  </r>
  <r>
    <n v="10475"/>
    <x v="9"/>
    <s v="smithMan@yahoo.com"/>
    <x v="3"/>
    <n v="170"/>
    <n v="250"/>
    <n v="803"/>
    <n v="136510"/>
    <n v="200750"/>
    <n v="64240"/>
    <x v="4"/>
    <x v="0"/>
    <x v="2"/>
    <x v="0"/>
    <x v="1"/>
    <x v="2"/>
  </r>
  <r>
    <n v="10476"/>
    <x v="3"/>
    <s v="jone.ai@yahoo.com"/>
    <x v="4"/>
    <n v="150"/>
    <n v="200"/>
    <n v="731"/>
    <n v="109650"/>
    <n v="146200"/>
    <n v="36550"/>
    <x v="0"/>
    <x v="1"/>
    <x v="3"/>
    <x v="0"/>
    <x v="0"/>
    <x v="3"/>
  </r>
  <r>
    <n v="10477"/>
    <x v="6"/>
    <s v="morganny@gmail.com"/>
    <x v="5"/>
    <n v="80"/>
    <n v="150"/>
    <n v="910"/>
    <n v="72800"/>
    <n v="136500"/>
    <n v="63700"/>
    <x v="1"/>
    <x v="2"/>
    <x v="4"/>
    <x v="0"/>
    <x v="0"/>
    <x v="4"/>
  </r>
  <r>
    <n v="10478"/>
    <x v="3"/>
    <s v="jone.ai@yahoo.com"/>
    <x v="6"/>
    <n v="90"/>
    <n v="150"/>
    <n v="747"/>
    <n v="67230"/>
    <n v="112050"/>
    <n v="44820"/>
    <x v="2"/>
    <x v="3"/>
    <x v="5"/>
    <x v="2"/>
    <x v="1"/>
    <x v="5"/>
  </r>
  <r>
    <n v="10479"/>
    <x v="8"/>
    <s v="parentty@uk.com"/>
    <x v="0"/>
    <n v="150"/>
    <n v="200"/>
    <n v="994"/>
    <n v="149100"/>
    <n v="198800"/>
    <n v="49700"/>
    <x v="3"/>
    <x v="4"/>
    <x v="6"/>
    <x v="2"/>
    <x v="1"/>
    <x v="6"/>
  </r>
  <r>
    <n v="10480"/>
    <x v="10"/>
    <s v="kivel_go@yahoo.com"/>
    <x v="1"/>
    <n v="250"/>
    <n v="500"/>
    <n v="982"/>
    <n v="245500"/>
    <n v="491000"/>
    <n v="245500"/>
    <x v="4"/>
    <x v="5"/>
    <x v="7"/>
    <x v="2"/>
    <x v="1"/>
    <x v="7"/>
  </r>
  <r>
    <n v="10481"/>
    <x v="9"/>
    <s v="smithMan@yahoo.com"/>
    <x v="2"/>
    <n v="180"/>
    <n v="450"/>
    <n v="958"/>
    <n v="172440"/>
    <n v="431100"/>
    <n v="258660"/>
    <x v="0"/>
    <x v="0"/>
    <x v="8"/>
    <x v="2"/>
    <x v="0"/>
    <x v="8"/>
  </r>
  <r>
    <n v="10482"/>
    <x v="8"/>
    <s v="parentty@uk.com"/>
    <x v="3"/>
    <n v="170"/>
    <n v="250"/>
    <n v="943"/>
    <n v="160310"/>
    <n v="235750"/>
    <n v="75440"/>
    <x v="1"/>
    <x v="1"/>
    <x v="9"/>
    <x v="2"/>
    <x v="0"/>
    <x v="9"/>
  </r>
  <r>
    <n v="10483"/>
    <x v="1"/>
    <s v="gillhell@uk.com"/>
    <x v="4"/>
    <n v="150"/>
    <n v="200"/>
    <n v="946"/>
    <n v="141900"/>
    <n v="189200"/>
    <n v="47300"/>
    <x v="2"/>
    <x v="2"/>
    <x v="10"/>
    <x v="0"/>
    <x v="1"/>
    <x v="10"/>
  </r>
  <r>
    <n v="10484"/>
    <x v="9"/>
    <s v="smithMan@yahoo.com"/>
    <x v="5"/>
    <n v="80"/>
    <n v="150"/>
    <n v="852"/>
    <n v="68160"/>
    <n v="127800"/>
    <n v="59640"/>
    <x v="3"/>
    <x v="3"/>
    <x v="11"/>
    <x v="2"/>
    <x v="1"/>
    <x v="11"/>
  </r>
  <r>
    <n v="10485"/>
    <x v="3"/>
    <s v="jone.ai@yahoo.com"/>
    <x v="6"/>
    <n v="90"/>
    <n v="150"/>
    <n v="960"/>
    <n v="86400"/>
    <n v="144000"/>
    <n v="57600"/>
    <x v="4"/>
    <x v="4"/>
    <x v="0"/>
    <x v="1"/>
    <x v="1"/>
    <x v="0"/>
  </r>
  <r>
    <n v="10486"/>
    <x v="2"/>
    <s v="sorvi2000@gmail.com"/>
    <x v="0"/>
    <n v="150"/>
    <n v="200"/>
    <n v="992"/>
    <n v="148800"/>
    <n v="198400"/>
    <n v="49600"/>
    <x v="0"/>
    <x v="5"/>
    <x v="1"/>
    <x v="0"/>
    <x v="0"/>
    <x v="1"/>
  </r>
  <r>
    <n v="10487"/>
    <x v="0"/>
    <s v="jard@gmail.com"/>
    <x v="1"/>
    <n v="250"/>
    <n v="500"/>
    <n v="960"/>
    <n v="240000"/>
    <n v="480000"/>
    <n v="240000"/>
    <x v="1"/>
    <x v="0"/>
    <x v="2"/>
    <x v="2"/>
    <x v="0"/>
    <x v="2"/>
  </r>
  <r>
    <n v="10488"/>
    <x v="4"/>
    <s v="andy@gmail.com"/>
    <x v="2"/>
    <n v="180"/>
    <n v="450"/>
    <n v="842"/>
    <n v="151560"/>
    <n v="378900"/>
    <n v="227340"/>
    <x v="2"/>
    <x v="1"/>
    <x v="3"/>
    <x v="1"/>
    <x v="1"/>
    <x v="3"/>
  </r>
  <r>
    <n v="10489"/>
    <x v="7"/>
    <s v="howard_freeman@yahoo.com"/>
    <x v="3"/>
    <n v="170"/>
    <n v="250"/>
    <n v="750"/>
    <n v="127500"/>
    <n v="187500"/>
    <n v="60000"/>
    <x v="3"/>
    <x v="2"/>
    <x v="4"/>
    <x v="1"/>
    <x v="1"/>
    <x v="4"/>
  </r>
  <r>
    <n v="10490"/>
    <x v="1"/>
    <s v="gillhell@uk.com"/>
    <x v="4"/>
    <n v="150"/>
    <n v="200"/>
    <n v="796"/>
    <n v="119400"/>
    <n v="159200"/>
    <n v="39800"/>
    <x v="4"/>
    <x v="3"/>
    <x v="5"/>
    <x v="1"/>
    <x v="1"/>
    <x v="5"/>
  </r>
  <r>
    <n v="10491"/>
    <x v="1"/>
    <s v="gillhell@uk.com"/>
    <x v="5"/>
    <n v="80"/>
    <n v="150"/>
    <n v="944"/>
    <n v="75520"/>
    <n v="141600"/>
    <n v="66080"/>
    <x v="0"/>
    <x v="4"/>
    <x v="6"/>
    <x v="1"/>
    <x v="0"/>
    <x v="6"/>
  </r>
  <r>
    <n v="10492"/>
    <x v="10"/>
    <s v="kivel_go@yahoo.com"/>
    <x v="6"/>
    <n v="90"/>
    <n v="150"/>
    <n v="854"/>
    <n v="76860"/>
    <n v="128100"/>
    <n v="51240"/>
    <x v="1"/>
    <x v="5"/>
    <x v="7"/>
    <x v="0"/>
    <x v="0"/>
    <x v="7"/>
  </r>
  <r>
    <n v="10493"/>
    <x v="3"/>
    <s v="jone.ai@yahoo.com"/>
    <x v="0"/>
    <n v="150"/>
    <n v="200"/>
    <n v="926"/>
    <n v="138900"/>
    <n v="185200"/>
    <n v="46300"/>
    <x v="2"/>
    <x v="0"/>
    <x v="8"/>
    <x v="0"/>
    <x v="1"/>
    <x v="8"/>
  </r>
  <r>
    <n v="10494"/>
    <x v="6"/>
    <s v="morganny@gmail.com"/>
    <x v="1"/>
    <n v="250"/>
    <n v="500"/>
    <n v="808"/>
    <n v="202000"/>
    <n v="404000"/>
    <n v="202000"/>
    <x v="3"/>
    <x v="1"/>
    <x v="9"/>
    <x v="2"/>
    <x v="1"/>
    <x v="9"/>
  </r>
  <r>
    <n v="10495"/>
    <x v="10"/>
    <s v="kivel_go@yahoo.com"/>
    <x v="2"/>
    <n v="180"/>
    <n v="450"/>
    <n v="883"/>
    <n v="158940"/>
    <n v="397350"/>
    <n v="238410"/>
    <x v="4"/>
    <x v="2"/>
    <x v="10"/>
    <x v="0"/>
    <x v="1"/>
    <x v="10"/>
  </r>
  <r>
    <n v="10496"/>
    <x v="2"/>
    <s v="sorvi2000@gmail.com"/>
    <x v="3"/>
    <n v="170"/>
    <n v="250"/>
    <n v="958"/>
    <n v="162860"/>
    <n v="239500"/>
    <n v="76640"/>
    <x v="0"/>
    <x v="3"/>
    <x v="11"/>
    <x v="0"/>
    <x v="0"/>
    <x v="11"/>
  </r>
  <r>
    <n v="10497"/>
    <x v="1"/>
    <s v="gillhell@uk.com"/>
    <x v="4"/>
    <n v="150"/>
    <n v="200"/>
    <n v="984"/>
    <n v="147600"/>
    <n v="196800"/>
    <n v="49200"/>
    <x v="1"/>
    <x v="4"/>
    <x v="0"/>
    <x v="0"/>
    <x v="0"/>
    <x v="0"/>
  </r>
  <r>
    <n v="10498"/>
    <x v="2"/>
    <s v="sorvi2000@gmail.com"/>
    <x v="5"/>
    <n v="80"/>
    <n v="150"/>
    <n v="765"/>
    <n v="61200"/>
    <n v="114750"/>
    <n v="53550"/>
    <x v="2"/>
    <x v="5"/>
    <x v="1"/>
    <x v="2"/>
    <x v="1"/>
    <x v="1"/>
  </r>
  <r>
    <n v="10499"/>
    <x v="5"/>
    <s v="thomp@uk.com"/>
    <x v="6"/>
    <n v="90"/>
    <n v="150"/>
    <n v="956"/>
    <n v="86040"/>
    <n v="143400"/>
    <n v="57360"/>
    <x v="3"/>
    <x v="0"/>
    <x v="2"/>
    <x v="2"/>
    <x v="1"/>
    <x v="2"/>
  </r>
  <r>
    <n v="10500"/>
    <x v="4"/>
    <s v="andy@gmail.com"/>
    <x v="0"/>
    <n v="150"/>
    <n v="200"/>
    <n v="931"/>
    <n v="139650"/>
    <n v="186200"/>
    <n v="46550"/>
    <x v="4"/>
    <x v="1"/>
    <x v="3"/>
    <x v="0"/>
    <x v="1"/>
    <x v="3"/>
  </r>
  <r>
    <n v="10501"/>
    <x v="0"/>
    <s v="jard@gmail.com"/>
    <x v="1"/>
    <n v="250"/>
    <n v="500"/>
    <n v="718"/>
    <n v="179500"/>
    <n v="359000"/>
    <n v="179500"/>
    <x v="0"/>
    <x v="2"/>
    <x v="4"/>
    <x v="1"/>
    <x v="0"/>
    <x v="4"/>
  </r>
  <r>
    <n v="10502"/>
    <x v="0"/>
    <s v="jard@gmail.com"/>
    <x v="2"/>
    <n v="180"/>
    <n v="450"/>
    <n v="776"/>
    <n v="139680"/>
    <n v="349200"/>
    <n v="209520"/>
    <x v="1"/>
    <x v="3"/>
    <x v="5"/>
    <x v="1"/>
    <x v="0"/>
    <x v="5"/>
  </r>
  <r>
    <n v="10503"/>
    <x v="4"/>
    <s v="andy@gmail.com"/>
    <x v="3"/>
    <n v="170"/>
    <n v="250"/>
    <n v="836"/>
    <n v="142120"/>
    <n v="209000"/>
    <n v="66880"/>
    <x v="2"/>
    <x v="4"/>
    <x v="6"/>
    <x v="1"/>
    <x v="1"/>
    <x v="6"/>
  </r>
  <r>
    <n v="10504"/>
    <x v="3"/>
    <s v="jone.ai@yahoo.com"/>
    <x v="4"/>
    <n v="150"/>
    <n v="200"/>
    <n v="730"/>
    <n v="109500"/>
    <n v="146000"/>
    <n v="36500"/>
    <x v="3"/>
    <x v="5"/>
    <x v="7"/>
    <x v="2"/>
    <x v="1"/>
    <x v="7"/>
  </r>
  <r>
    <n v="10505"/>
    <x v="6"/>
    <s v="morganny@gmail.com"/>
    <x v="5"/>
    <n v="80"/>
    <n v="150"/>
    <n v="741"/>
    <n v="59280"/>
    <n v="111150"/>
    <n v="51870"/>
    <x v="4"/>
    <x v="0"/>
    <x v="8"/>
    <x v="2"/>
    <x v="1"/>
    <x v="8"/>
  </r>
  <r>
    <n v="10506"/>
    <x v="10"/>
    <s v="kivel_go@yahoo.com"/>
    <x v="6"/>
    <n v="90"/>
    <n v="150"/>
    <n v="982"/>
    <n v="88380"/>
    <n v="147300"/>
    <n v="58920"/>
    <x v="0"/>
    <x v="1"/>
    <x v="9"/>
    <x v="0"/>
    <x v="0"/>
    <x v="9"/>
  </r>
  <r>
    <n v="10507"/>
    <x v="2"/>
    <s v="sorvi2000@gmail.com"/>
    <x v="0"/>
    <n v="150"/>
    <n v="200"/>
    <n v="724"/>
    <n v="108600"/>
    <n v="144800"/>
    <n v="36200"/>
    <x v="1"/>
    <x v="2"/>
    <x v="10"/>
    <x v="0"/>
    <x v="0"/>
    <x v="10"/>
  </r>
  <r>
    <n v="10508"/>
    <x v="1"/>
    <s v="gillhell@uk.com"/>
    <x v="1"/>
    <n v="250"/>
    <n v="500"/>
    <n v="906"/>
    <n v="226500"/>
    <n v="453000"/>
    <n v="226500"/>
    <x v="2"/>
    <x v="3"/>
    <x v="11"/>
    <x v="1"/>
    <x v="1"/>
    <x v="11"/>
  </r>
  <r>
    <n v="10509"/>
    <x v="2"/>
    <s v="sorvi2000@gmail.com"/>
    <x v="2"/>
    <n v="180"/>
    <n v="450"/>
    <n v="907"/>
    <n v="163260"/>
    <n v="408150"/>
    <n v="244890"/>
    <x v="3"/>
    <x v="4"/>
    <x v="0"/>
    <x v="1"/>
    <x v="1"/>
    <x v="0"/>
  </r>
  <r>
    <n v="10510"/>
    <x v="5"/>
    <s v="thomp@uk.com"/>
    <x v="3"/>
    <n v="170"/>
    <n v="250"/>
    <n v="712"/>
    <n v="121040"/>
    <n v="178000"/>
    <n v="56960"/>
    <x v="4"/>
    <x v="5"/>
    <x v="1"/>
    <x v="0"/>
    <x v="1"/>
    <x v="1"/>
  </r>
  <r>
    <n v="10511"/>
    <x v="4"/>
    <s v="andy@gmail.com"/>
    <x v="4"/>
    <n v="150"/>
    <n v="200"/>
    <n v="859"/>
    <n v="128850"/>
    <n v="171800"/>
    <n v="42950"/>
    <x v="0"/>
    <x v="0"/>
    <x v="2"/>
    <x v="1"/>
    <x v="0"/>
    <x v="2"/>
  </r>
  <r>
    <n v="10512"/>
    <x v="0"/>
    <s v="jard@gmail.com"/>
    <x v="5"/>
    <n v="80"/>
    <n v="150"/>
    <n v="770"/>
    <n v="61600"/>
    <n v="115500"/>
    <n v="53900"/>
    <x v="1"/>
    <x v="1"/>
    <x v="3"/>
    <x v="1"/>
    <x v="0"/>
    <x v="3"/>
  </r>
  <r>
    <n v="10513"/>
    <x v="0"/>
    <s v="jard@gmail.com"/>
    <x v="6"/>
    <n v="90"/>
    <n v="150"/>
    <n v="775"/>
    <n v="69750"/>
    <n v="116250"/>
    <n v="46500"/>
    <x v="2"/>
    <x v="2"/>
    <x v="4"/>
    <x v="0"/>
    <x v="1"/>
    <x v="4"/>
  </r>
  <r>
    <n v="10514"/>
    <x v="4"/>
    <s v="andy@gmail.com"/>
    <x v="0"/>
    <n v="150"/>
    <n v="200"/>
    <n v="820"/>
    <n v="123000"/>
    <n v="164000"/>
    <n v="41000"/>
    <x v="3"/>
    <x v="3"/>
    <x v="5"/>
    <x v="0"/>
    <x v="1"/>
    <x v="5"/>
  </r>
  <r>
    <n v="10515"/>
    <x v="0"/>
    <s v="jard@gmail.com"/>
    <x v="1"/>
    <n v="250"/>
    <n v="500"/>
    <n v="833"/>
    <n v="208250"/>
    <n v="416500"/>
    <n v="208250"/>
    <x v="4"/>
    <x v="4"/>
    <x v="6"/>
    <x v="1"/>
    <x v="1"/>
    <x v="6"/>
  </r>
  <r>
    <n v="10516"/>
    <x v="1"/>
    <s v="gillhell@uk.com"/>
    <x v="2"/>
    <n v="180"/>
    <n v="450"/>
    <n v="735"/>
    <n v="132300"/>
    <n v="330750"/>
    <n v="198450"/>
    <x v="0"/>
    <x v="5"/>
    <x v="7"/>
    <x v="2"/>
    <x v="0"/>
    <x v="7"/>
  </r>
  <r>
    <n v="10517"/>
    <x v="2"/>
    <s v="sorvi2000@gmail.com"/>
    <x v="3"/>
    <n v="170"/>
    <n v="250"/>
    <n v="884"/>
    <n v="150280"/>
    <n v="221000"/>
    <n v="70720"/>
    <x v="1"/>
    <x v="0"/>
    <x v="8"/>
    <x v="2"/>
    <x v="0"/>
    <x v="8"/>
  </r>
  <r>
    <n v="10518"/>
    <x v="3"/>
    <s v="jone.ai@yahoo.com"/>
    <x v="4"/>
    <n v="150"/>
    <n v="200"/>
    <n v="888"/>
    <n v="133200"/>
    <n v="177600"/>
    <n v="44400"/>
    <x v="2"/>
    <x v="1"/>
    <x v="9"/>
    <x v="0"/>
    <x v="1"/>
    <x v="9"/>
  </r>
  <r>
    <n v="10519"/>
    <x v="4"/>
    <s v="andy@gmail.com"/>
    <x v="5"/>
    <n v="80"/>
    <n v="150"/>
    <n v="756"/>
    <n v="60480"/>
    <n v="113400"/>
    <n v="52920"/>
    <x v="3"/>
    <x v="2"/>
    <x v="10"/>
    <x v="2"/>
    <x v="1"/>
    <x v="10"/>
  </r>
  <r>
    <n v="10520"/>
    <x v="0"/>
    <s v="jard@gmail.com"/>
    <x v="6"/>
    <n v="90"/>
    <n v="150"/>
    <n v="787"/>
    <n v="70830"/>
    <n v="118050"/>
    <n v="47220"/>
    <x v="4"/>
    <x v="3"/>
    <x v="11"/>
    <x v="0"/>
    <x v="1"/>
    <x v="11"/>
  </r>
  <r>
    <n v="10521"/>
    <x v="5"/>
    <s v="thomp@uk.com"/>
    <x v="0"/>
    <n v="150"/>
    <n v="200"/>
    <n v="804"/>
    <n v="120600"/>
    <n v="160800"/>
    <n v="40200"/>
    <x v="0"/>
    <x v="4"/>
    <x v="0"/>
    <x v="1"/>
    <x v="0"/>
    <x v="0"/>
  </r>
  <r>
    <n v="10522"/>
    <x v="3"/>
    <s v="jone.ai@yahoo.com"/>
    <x v="1"/>
    <n v="250"/>
    <n v="500"/>
    <n v="986"/>
    <n v="246500"/>
    <n v="493000"/>
    <n v="246500"/>
    <x v="1"/>
    <x v="5"/>
    <x v="1"/>
    <x v="1"/>
    <x v="0"/>
    <x v="1"/>
  </r>
  <r>
    <n v="10523"/>
    <x v="6"/>
    <s v="morganny@gmail.com"/>
    <x v="2"/>
    <n v="180"/>
    <n v="450"/>
    <n v="856"/>
    <n v="154080"/>
    <n v="385200"/>
    <n v="231120"/>
    <x v="2"/>
    <x v="0"/>
    <x v="2"/>
    <x v="1"/>
    <x v="1"/>
    <x v="2"/>
  </r>
  <r>
    <n v="10524"/>
    <x v="7"/>
    <s v="howard_freeman@yahoo.com"/>
    <x v="3"/>
    <n v="170"/>
    <n v="250"/>
    <n v="835"/>
    <n v="141950"/>
    <n v="208750"/>
    <n v="66800"/>
    <x v="3"/>
    <x v="1"/>
    <x v="3"/>
    <x v="1"/>
    <x v="1"/>
    <x v="3"/>
  </r>
  <r>
    <n v="10525"/>
    <x v="8"/>
    <s v="parentty@uk.com"/>
    <x v="4"/>
    <n v="150"/>
    <n v="200"/>
    <n v="938"/>
    <n v="140700"/>
    <n v="187600"/>
    <n v="46900"/>
    <x v="4"/>
    <x v="2"/>
    <x v="4"/>
    <x v="1"/>
    <x v="1"/>
    <x v="4"/>
  </r>
  <r>
    <n v="10526"/>
    <x v="3"/>
    <s v="jone.ai@yahoo.com"/>
    <x v="5"/>
    <n v="80"/>
    <n v="150"/>
    <n v="719"/>
    <n v="57520"/>
    <n v="107850"/>
    <n v="50330"/>
    <x v="0"/>
    <x v="3"/>
    <x v="5"/>
    <x v="1"/>
    <x v="0"/>
    <x v="5"/>
  </r>
  <r>
    <n v="10527"/>
    <x v="9"/>
    <s v="smithMan@yahoo.com"/>
    <x v="6"/>
    <n v="90"/>
    <n v="150"/>
    <n v="868"/>
    <n v="78120"/>
    <n v="130200"/>
    <n v="52080"/>
    <x v="1"/>
    <x v="4"/>
    <x v="6"/>
    <x v="2"/>
    <x v="0"/>
    <x v="6"/>
  </r>
  <r>
    <n v="10528"/>
    <x v="3"/>
    <s v="jone.ai@yahoo.com"/>
    <x v="0"/>
    <n v="150"/>
    <n v="200"/>
    <n v="885"/>
    <n v="132750"/>
    <n v="177000"/>
    <n v="44250"/>
    <x v="2"/>
    <x v="5"/>
    <x v="7"/>
    <x v="1"/>
    <x v="1"/>
    <x v="7"/>
  </r>
  <r>
    <n v="10529"/>
    <x v="0"/>
    <s v="jard@gmail.com"/>
    <x v="1"/>
    <n v="250"/>
    <n v="500"/>
    <n v="943"/>
    <n v="235750"/>
    <n v="471500"/>
    <n v="235750"/>
    <x v="3"/>
    <x v="0"/>
    <x v="8"/>
    <x v="1"/>
    <x v="1"/>
    <x v="8"/>
  </r>
  <r>
    <n v="10530"/>
    <x v="1"/>
    <s v="gillhell@uk.com"/>
    <x v="2"/>
    <n v="180"/>
    <n v="450"/>
    <n v="900"/>
    <n v="162000"/>
    <n v="405000"/>
    <n v="243000"/>
    <x v="4"/>
    <x v="1"/>
    <x v="9"/>
    <x v="2"/>
    <x v="1"/>
    <x v="9"/>
  </r>
  <r>
    <n v="10531"/>
    <x v="2"/>
    <s v="sorvi2000@gmail.com"/>
    <x v="3"/>
    <n v="170"/>
    <n v="250"/>
    <n v="950"/>
    <n v="161500"/>
    <n v="237500"/>
    <n v="76000"/>
    <x v="0"/>
    <x v="2"/>
    <x v="10"/>
    <x v="0"/>
    <x v="0"/>
    <x v="10"/>
  </r>
  <r>
    <n v="10532"/>
    <x v="3"/>
    <s v="jone.ai@yahoo.com"/>
    <x v="4"/>
    <n v="150"/>
    <n v="200"/>
    <n v="742"/>
    <n v="111300"/>
    <n v="148400"/>
    <n v="37100"/>
    <x v="1"/>
    <x v="3"/>
    <x v="11"/>
    <x v="2"/>
    <x v="0"/>
    <x v="11"/>
  </r>
  <r>
    <n v="10533"/>
    <x v="4"/>
    <s v="andy@gmail.com"/>
    <x v="5"/>
    <n v="80"/>
    <n v="150"/>
    <n v="889"/>
    <n v="71120"/>
    <n v="133350"/>
    <n v="62230"/>
    <x v="2"/>
    <x v="4"/>
    <x v="0"/>
    <x v="1"/>
    <x v="1"/>
    <x v="0"/>
  </r>
  <r>
    <n v="10534"/>
    <x v="0"/>
    <s v="jard@gmail.com"/>
    <x v="6"/>
    <n v="90"/>
    <n v="150"/>
    <n v="939"/>
    <n v="84510"/>
    <n v="140850"/>
    <n v="56340"/>
    <x v="3"/>
    <x v="5"/>
    <x v="1"/>
    <x v="1"/>
    <x v="1"/>
    <x v="1"/>
  </r>
  <r>
    <n v="10535"/>
    <x v="5"/>
    <s v="thomp@uk.com"/>
    <x v="0"/>
    <n v="150"/>
    <n v="200"/>
    <n v="950"/>
    <n v="142500"/>
    <n v="190000"/>
    <n v="47500"/>
    <x v="4"/>
    <x v="0"/>
    <x v="2"/>
    <x v="1"/>
    <x v="1"/>
    <x v="2"/>
  </r>
  <r>
    <n v="10536"/>
    <x v="3"/>
    <s v="jone.ai@yahoo.com"/>
    <x v="1"/>
    <n v="250"/>
    <n v="500"/>
    <n v="745"/>
    <n v="186250"/>
    <n v="372500"/>
    <n v="186250"/>
    <x v="0"/>
    <x v="1"/>
    <x v="3"/>
    <x v="1"/>
    <x v="0"/>
    <x v="3"/>
  </r>
  <r>
    <n v="10537"/>
    <x v="6"/>
    <s v="morganny@gmail.com"/>
    <x v="2"/>
    <n v="180"/>
    <n v="450"/>
    <n v="933"/>
    <n v="167940"/>
    <n v="419850"/>
    <n v="251910"/>
    <x v="1"/>
    <x v="2"/>
    <x v="4"/>
    <x v="2"/>
    <x v="0"/>
    <x v="4"/>
  </r>
  <r>
    <n v="10538"/>
    <x v="7"/>
    <s v="howard_freeman@yahoo.com"/>
    <x v="3"/>
    <n v="170"/>
    <n v="250"/>
    <n v="826"/>
    <n v="140420"/>
    <n v="206500"/>
    <n v="66080"/>
    <x v="2"/>
    <x v="3"/>
    <x v="5"/>
    <x v="2"/>
    <x v="1"/>
    <x v="5"/>
  </r>
  <r>
    <n v="10539"/>
    <x v="8"/>
    <s v="parentty@uk.com"/>
    <x v="4"/>
    <n v="150"/>
    <n v="200"/>
    <n v="989"/>
    <n v="148350"/>
    <n v="197800"/>
    <n v="49450"/>
    <x v="3"/>
    <x v="4"/>
    <x v="6"/>
    <x v="2"/>
    <x v="1"/>
    <x v="6"/>
  </r>
  <r>
    <n v="10540"/>
    <x v="3"/>
    <s v="jone.ai@yahoo.com"/>
    <x v="5"/>
    <n v="80"/>
    <n v="150"/>
    <n v="881"/>
    <n v="70480"/>
    <n v="132150"/>
    <n v="61670"/>
    <x v="4"/>
    <x v="5"/>
    <x v="7"/>
    <x v="0"/>
    <x v="1"/>
    <x v="7"/>
  </r>
  <r>
    <n v="10541"/>
    <x v="9"/>
    <s v="smithMan@yahoo.com"/>
    <x v="6"/>
    <n v="90"/>
    <n v="150"/>
    <n v="768"/>
    <n v="69120"/>
    <n v="115200"/>
    <n v="46080"/>
    <x v="0"/>
    <x v="0"/>
    <x v="8"/>
    <x v="0"/>
    <x v="0"/>
    <x v="8"/>
  </r>
  <r>
    <n v="10542"/>
    <x v="3"/>
    <s v="jone.ai@yahoo.com"/>
    <x v="0"/>
    <n v="150"/>
    <n v="200"/>
    <n v="844"/>
    <n v="126600"/>
    <n v="168800"/>
    <n v="42200"/>
    <x v="1"/>
    <x v="1"/>
    <x v="9"/>
    <x v="1"/>
    <x v="0"/>
    <x v="9"/>
  </r>
  <r>
    <n v="10543"/>
    <x v="6"/>
    <s v="morganny@gmail.com"/>
    <x v="1"/>
    <n v="250"/>
    <n v="500"/>
    <n v="790"/>
    <n v="197500"/>
    <n v="395000"/>
    <n v="197500"/>
    <x v="2"/>
    <x v="2"/>
    <x v="10"/>
    <x v="2"/>
    <x v="1"/>
    <x v="10"/>
  </r>
  <r>
    <n v="10544"/>
    <x v="3"/>
    <s v="jone.ai@yahoo.com"/>
    <x v="2"/>
    <n v="180"/>
    <n v="450"/>
    <n v="898"/>
    <n v="161640"/>
    <n v="404100"/>
    <n v="242460"/>
    <x v="3"/>
    <x v="3"/>
    <x v="11"/>
    <x v="1"/>
    <x v="1"/>
    <x v="11"/>
  </r>
  <r>
    <n v="10545"/>
    <x v="8"/>
    <s v="parentty@uk.com"/>
    <x v="3"/>
    <n v="170"/>
    <n v="250"/>
    <n v="818"/>
    <n v="139060"/>
    <n v="204500"/>
    <n v="65440"/>
    <x v="4"/>
    <x v="4"/>
    <x v="0"/>
    <x v="1"/>
    <x v="1"/>
    <x v="0"/>
  </r>
  <r>
    <n v="10546"/>
    <x v="10"/>
    <s v="kivel_go@yahoo.com"/>
    <x v="4"/>
    <n v="150"/>
    <n v="200"/>
    <n v="707"/>
    <n v="106050"/>
    <n v="141400"/>
    <n v="35350"/>
    <x v="0"/>
    <x v="5"/>
    <x v="1"/>
    <x v="1"/>
    <x v="0"/>
    <x v="1"/>
  </r>
  <r>
    <n v="10547"/>
    <x v="9"/>
    <s v="smithMan@yahoo.com"/>
    <x v="5"/>
    <n v="80"/>
    <n v="150"/>
    <n v="712"/>
    <n v="56960"/>
    <n v="106800"/>
    <n v="49840"/>
    <x v="1"/>
    <x v="0"/>
    <x v="2"/>
    <x v="2"/>
    <x v="0"/>
    <x v="2"/>
  </r>
  <r>
    <n v="10548"/>
    <x v="8"/>
    <s v="parentty@uk.com"/>
    <x v="6"/>
    <n v="90"/>
    <n v="150"/>
    <n v="991"/>
    <n v="89190"/>
    <n v="148650"/>
    <n v="59460"/>
    <x v="2"/>
    <x v="1"/>
    <x v="3"/>
    <x v="1"/>
    <x v="1"/>
    <x v="3"/>
  </r>
  <r>
    <n v="10549"/>
    <x v="1"/>
    <s v="gillhell@uk.com"/>
    <x v="0"/>
    <n v="150"/>
    <n v="200"/>
    <n v="900"/>
    <n v="135000"/>
    <n v="180000"/>
    <n v="45000"/>
    <x v="3"/>
    <x v="2"/>
    <x v="4"/>
    <x v="0"/>
    <x v="1"/>
    <x v="4"/>
  </r>
  <r>
    <n v="10550"/>
    <x v="9"/>
    <s v="smithMan@yahoo.com"/>
    <x v="1"/>
    <n v="250"/>
    <n v="500"/>
    <n v="810"/>
    <n v="202500"/>
    <n v="405000"/>
    <n v="202500"/>
    <x v="4"/>
    <x v="3"/>
    <x v="5"/>
    <x v="0"/>
    <x v="1"/>
    <x v="5"/>
  </r>
  <r>
    <n v="10551"/>
    <x v="3"/>
    <s v="jone.ai@yahoo.com"/>
    <x v="2"/>
    <n v="180"/>
    <n v="450"/>
    <n v="740"/>
    <n v="133200"/>
    <n v="333000"/>
    <n v="199800"/>
    <x v="0"/>
    <x v="4"/>
    <x v="6"/>
    <x v="0"/>
    <x v="0"/>
    <x v="6"/>
  </r>
  <r>
    <n v="10552"/>
    <x v="2"/>
    <s v="sorvi2000@gmail.com"/>
    <x v="3"/>
    <n v="170"/>
    <n v="250"/>
    <n v="909"/>
    <n v="154530"/>
    <n v="227250"/>
    <n v="72720"/>
    <x v="1"/>
    <x v="5"/>
    <x v="7"/>
    <x v="2"/>
    <x v="0"/>
    <x v="7"/>
  </r>
  <r>
    <n v="10553"/>
    <x v="0"/>
    <s v="jard@gmail.com"/>
    <x v="4"/>
    <n v="150"/>
    <n v="200"/>
    <n v="824"/>
    <n v="123600"/>
    <n v="164800"/>
    <n v="41200"/>
    <x v="2"/>
    <x v="0"/>
    <x v="8"/>
    <x v="1"/>
    <x v="1"/>
    <x v="8"/>
  </r>
  <r>
    <n v="10554"/>
    <x v="4"/>
    <s v="andy@gmail.com"/>
    <x v="5"/>
    <n v="80"/>
    <n v="150"/>
    <n v="809"/>
    <n v="64720"/>
    <n v="121350"/>
    <n v="56630"/>
    <x v="3"/>
    <x v="1"/>
    <x v="9"/>
    <x v="2"/>
    <x v="1"/>
    <x v="9"/>
  </r>
  <r>
    <n v="10555"/>
    <x v="7"/>
    <s v="howard_freeman@yahoo.com"/>
    <x v="6"/>
    <n v="90"/>
    <n v="150"/>
    <n v="819"/>
    <n v="73710"/>
    <n v="122850"/>
    <n v="49140"/>
    <x v="4"/>
    <x v="2"/>
    <x v="10"/>
    <x v="1"/>
    <x v="1"/>
    <x v="10"/>
  </r>
  <r>
    <n v="10556"/>
    <x v="1"/>
    <s v="gillhell@uk.com"/>
    <x v="0"/>
    <n v="150"/>
    <n v="200"/>
    <n v="865"/>
    <n v="129750"/>
    <n v="173000"/>
    <n v="43250"/>
    <x v="0"/>
    <x v="3"/>
    <x v="11"/>
    <x v="0"/>
    <x v="0"/>
    <x v="11"/>
  </r>
  <r>
    <n v="10557"/>
    <x v="1"/>
    <s v="gillhell@uk.com"/>
    <x v="1"/>
    <n v="250"/>
    <n v="500"/>
    <n v="902"/>
    <n v="225500"/>
    <n v="451000"/>
    <n v="225500"/>
    <x v="1"/>
    <x v="4"/>
    <x v="0"/>
    <x v="0"/>
    <x v="0"/>
    <x v="0"/>
  </r>
  <r>
    <n v="10558"/>
    <x v="10"/>
    <s v="kivel_go@yahoo.com"/>
    <x v="2"/>
    <n v="180"/>
    <n v="450"/>
    <n v="796"/>
    <n v="143280"/>
    <n v="358200"/>
    <n v="214920"/>
    <x v="2"/>
    <x v="5"/>
    <x v="1"/>
    <x v="2"/>
    <x v="1"/>
    <x v="1"/>
  </r>
  <r>
    <n v="10559"/>
    <x v="3"/>
    <s v="jone.ai@yahoo.com"/>
    <x v="3"/>
    <n v="170"/>
    <n v="250"/>
    <n v="916"/>
    <n v="155720"/>
    <n v="229000"/>
    <n v="73280"/>
    <x v="3"/>
    <x v="0"/>
    <x v="2"/>
    <x v="1"/>
    <x v="1"/>
    <x v="2"/>
  </r>
  <r>
    <n v="10560"/>
    <x v="6"/>
    <s v="morganny@gmail.com"/>
    <x v="4"/>
    <n v="150"/>
    <n v="200"/>
    <n v="982"/>
    <n v="147300"/>
    <n v="196400"/>
    <n v="49100"/>
    <x v="4"/>
    <x v="1"/>
    <x v="3"/>
    <x v="2"/>
    <x v="1"/>
    <x v="3"/>
  </r>
  <r>
    <n v="10561"/>
    <x v="10"/>
    <s v="kivel_go@yahoo.com"/>
    <x v="5"/>
    <n v="80"/>
    <n v="150"/>
    <n v="734"/>
    <n v="58720"/>
    <n v="110100"/>
    <n v="51380"/>
    <x v="0"/>
    <x v="2"/>
    <x v="4"/>
    <x v="1"/>
    <x v="0"/>
    <x v="4"/>
  </r>
  <r>
    <n v="10562"/>
    <x v="2"/>
    <s v="sorvi2000@gmail.com"/>
    <x v="6"/>
    <n v="90"/>
    <n v="150"/>
    <n v="735"/>
    <n v="66150"/>
    <n v="110250"/>
    <n v="44100"/>
    <x v="1"/>
    <x v="3"/>
    <x v="5"/>
    <x v="0"/>
    <x v="0"/>
    <x v="5"/>
  </r>
  <r>
    <n v="10563"/>
    <x v="1"/>
    <s v="gillhell@uk.com"/>
    <x v="0"/>
    <n v="150"/>
    <n v="200"/>
    <n v="747"/>
    <n v="112050"/>
    <n v="149400"/>
    <n v="37350"/>
    <x v="2"/>
    <x v="4"/>
    <x v="6"/>
    <x v="2"/>
    <x v="1"/>
    <x v="6"/>
  </r>
  <r>
    <n v="10564"/>
    <x v="2"/>
    <s v="sorvi2000@gmail.com"/>
    <x v="1"/>
    <n v="250"/>
    <n v="500"/>
    <n v="798"/>
    <n v="199500"/>
    <n v="399000"/>
    <n v="199500"/>
    <x v="3"/>
    <x v="5"/>
    <x v="7"/>
    <x v="1"/>
    <x v="1"/>
    <x v="7"/>
  </r>
  <r>
    <n v="10565"/>
    <x v="5"/>
    <s v="thomp@uk.com"/>
    <x v="2"/>
    <n v="180"/>
    <n v="450"/>
    <n v="829"/>
    <n v="149220"/>
    <n v="373050"/>
    <n v="223830"/>
    <x v="4"/>
    <x v="0"/>
    <x v="8"/>
    <x v="2"/>
    <x v="1"/>
    <x v="8"/>
  </r>
  <r>
    <n v="10566"/>
    <x v="4"/>
    <s v="andy@gmail.com"/>
    <x v="3"/>
    <n v="170"/>
    <n v="250"/>
    <n v="729"/>
    <n v="123930"/>
    <n v="182250"/>
    <n v="58320"/>
    <x v="0"/>
    <x v="1"/>
    <x v="9"/>
    <x v="2"/>
    <x v="0"/>
    <x v="9"/>
  </r>
  <r>
    <n v="10567"/>
    <x v="0"/>
    <s v="jard@gmail.com"/>
    <x v="4"/>
    <n v="150"/>
    <n v="200"/>
    <n v="721"/>
    <n v="108150"/>
    <n v="144200"/>
    <n v="36050"/>
    <x v="1"/>
    <x v="2"/>
    <x v="10"/>
    <x v="0"/>
    <x v="0"/>
    <x v="10"/>
  </r>
  <r>
    <n v="10568"/>
    <x v="0"/>
    <s v="jard@gmail.com"/>
    <x v="5"/>
    <n v="80"/>
    <n v="150"/>
    <n v="709"/>
    <n v="56720"/>
    <n v="106350"/>
    <n v="49630"/>
    <x v="2"/>
    <x v="3"/>
    <x v="11"/>
    <x v="1"/>
    <x v="1"/>
    <x v="11"/>
  </r>
  <r>
    <n v="10569"/>
    <x v="4"/>
    <s v="andy@gmail.com"/>
    <x v="6"/>
    <n v="90"/>
    <n v="150"/>
    <n v="719"/>
    <n v="64710"/>
    <n v="107850"/>
    <n v="43140"/>
    <x v="3"/>
    <x v="4"/>
    <x v="0"/>
    <x v="2"/>
    <x v="1"/>
    <x v="0"/>
  </r>
  <r>
    <n v="10570"/>
    <x v="0"/>
    <s v="jard@gmail.com"/>
    <x v="0"/>
    <n v="150"/>
    <n v="200"/>
    <n v="875"/>
    <n v="131250"/>
    <n v="175000"/>
    <n v="43750"/>
    <x v="4"/>
    <x v="5"/>
    <x v="1"/>
    <x v="1"/>
    <x v="1"/>
    <x v="1"/>
  </r>
  <r>
    <n v="10571"/>
    <x v="1"/>
    <s v="gillhell@uk.com"/>
    <x v="1"/>
    <n v="250"/>
    <n v="500"/>
    <n v="762"/>
    <n v="190500"/>
    <n v="381000"/>
    <n v="190500"/>
    <x v="0"/>
    <x v="0"/>
    <x v="2"/>
    <x v="2"/>
    <x v="0"/>
    <x v="2"/>
  </r>
  <r>
    <n v="10572"/>
    <x v="2"/>
    <s v="sorvi2000@gmail.com"/>
    <x v="2"/>
    <n v="180"/>
    <n v="450"/>
    <n v="964"/>
    <n v="173520"/>
    <n v="433800"/>
    <n v="260280"/>
    <x v="1"/>
    <x v="1"/>
    <x v="3"/>
    <x v="2"/>
    <x v="0"/>
    <x v="3"/>
  </r>
  <r>
    <n v="10573"/>
    <x v="3"/>
    <s v="jone.ai@yahoo.com"/>
    <x v="3"/>
    <n v="170"/>
    <n v="250"/>
    <n v="931"/>
    <n v="158270"/>
    <n v="232750"/>
    <n v="74480"/>
    <x v="2"/>
    <x v="2"/>
    <x v="4"/>
    <x v="1"/>
    <x v="1"/>
    <x v="4"/>
  </r>
  <r>
    <n v="10574"/>
    <x v="4"/>
    <s v="andy@gmail.com"/>
    <x v="4"/>
    <n v="150"/>
    <n v="200"/>
    <n v="766"/>
    <n v="114900"/>
    <n v="153200"/>
    <n v="38300"/>
    <x v="3"/>
    <x v="3"/>
    <x v="5"/>
    <x v="0"/>
    <x v="1"/>
    <x v="5"/>
  </r>
  <r>
    <n v="10575"/>
    <x v="0"/>
    <s v="jard@gmail.com"/>
    <x v="5"/>
    <n v="80"/>
    <n v="150"/>
    <n v="746"/>
    <n v="59680"/>
    <n v="111900"/>
    <n v="52220"/>
    <x v="4"/>
    <x v="4"/>
    <x v="6"/>
    <x v="1"/>
    <x v="1"/>
    <x v="6"/>
  </r>
  <r>
    <n v="10576"/>
    <x v="5"/>
    <s v="thomp@uk.com"/>
    <x v="6"/>
    <n v="90"/>
    <n v="150"/>
    <n v="942"/>
    <n v="84780"/>
    <n v="141300"/>
    <n v="56520"/>
    <x v="0"/>
    <x v="5"/>
    <x v="7"/>
    <x v="2"/>
    <x v="0"/>
    <x v="7"/>
  </r>
  <r>
    <n v="10577"/>
    <x v="3"/>
    <s v="jone.ai@yahoo.com"/>
    <x v="0"/>
    <n v="150"/>
    <n v="200"/>
    <n v="724"/>
    <n v="108600"/>
    <n v="144800"/>
    <n v="36200"/>
    <x v="1"/>
    <x v="0"/>
    <x v="8"/>
    <x v="0"/>
    <x v="0"/>
    <x v="8"/>
  </r>
  <r>
    <n v="10578"/>
    <x v="6"/>
    <s v="morganny@gmail.com"/>
    <x v="1"/>
    <n v="250"/>
    <n v="500"/>
    <n v="887"/>
    <n v="221750"/>
    <n v="443500"/>
    <n v="221750"/>
    <x v="2"/>
    <x v="1"/>
    <x v="9"/>
    <x v="1"/>
    <x v="1"/>
    <x v="9"/>
  </r>
  <r>
    <n v="10579"/>
    <x v="7"/>
    <s v="howard_freeman@yahoo.com"/>
    <x v="2"/>
    <n v="180"/>
    <n v="450"/>
    <n v="703"/>
    <n v="126540"/>
    <n v="316350"/>
    <n v="189810"/>
    <x v="3"/>
    <x v="2"/>
    <x v="10"/>
    <x v="2"/>
    <x v="1"/>
    <x v="10"/>
  </r>
  <r>
    <n v="10580"/>
    <x v="8"/>
    <s v="parentty@uk.com"/>
    <x v="3"/>
    <n v="170"/>
    <n v="250"/>
    <n v="930"/>
    <n v="158100"/>
    <n v="232500"/>
    <n v="74400"/>
    <x v="4"/>
    <x v="3"/>
    <x v="11"/>
    <x v="1"/>
    <x v="1"/>
    <x v="11"/>
  </r>
  <r>
    <n v="10581"/>
    <x v="3"/>
    <s v="jone.ai@yahoo.com"/>
    <x v="4"/>
    <n v="150"/>
    <n v="200"/>
    <n v="867"/>
    <n v="130050"/>
    <n v="173400"/>
    <n v="43350"/>
    <x v="0"/>
    <x v="4"/>
    <x v="0"/>
    <x v="2"/>
    <x v="0"/>
    <x v="0"/>
  </r>
  <r>
    <n v="10582"/>
    <x v="9"/>
    <s v="smithMan@yahoo.com"/>
    <x v="5"/>
    <n v="80"/>
    <n v="150"/>
    <n v="853"/>
    <n v="68240"/>
    <n v="127950"/>
    <n v="59710"/>
    <x v="1"/>
    <x v="5"/>
    <x v="1"/>
    <x v="1"/>
    <x v="0"/>
    <x v="1"/>
  </r>
  <r>
    <n v="10583"/>
    <x v="3"/>
    <s v="jone.ai@yahoo.com"/>
    <x v="6"/>
    <n v="90"/>
    <n v="150"/>
    <n v="794"/>
    <n v="71460"/>
    <n v="119100"/>
    <n v="47640"/>
    <x v="2"/>
    <x v="0"/>
    <x v="2"/>
    <x v="1"/>
    <x v="1"/>
    <x v="2"/>
  </r>
  <r>
    <n v="10584"/>
    <x v="6"/>
    <s v="morganny@gmail.com"/>
    <x v="0"/>
    <n v="150"/>
    <n v="200"/>
    <n v="974"/>
    <n v="146100"/>
    <n v="194800"/>
    <n v="48700"/>
    <x v="3"/>
    <x v="1"/>
    <x v="3"/>
    <x v="1"/>
    <x v="1"/>
    <x v="3"/>
  </r>
  <r>
    <n v="10585"/>
    <x v="3"/>
    <s v="jone.ai@yahoo.com"/>
    <x v="1"/>
    <n v="250"/>
    <n v="500"/>
    <n v="778"/>
    <n v="194500"/>
    <n v="389000"/>
    <n v="194500"/>
    <x v="4"/>
    <x v="2"/>
    <x v="4"/>
    <x v="0"/>
    <x v="1"/>
    <x v="4"/>
  </r>
  <r>
    <n v="10586"/>
    <x v="8"/>
    <s v="parentty@uk.com"/>
    <x v="2"/>
    <n v="180"/>
    <n v="450"/>
    <n v="939"/>
    <n v="169020"/>
    <n v="422550"/>
    <n v="253530"/>
    <x v="0"/>
    <x v="3"/>
    <x v="5"/>
    <x v="1"/>
    <x v="0"/>
    <x v="5"/>
  </r>
  <r>
    <n v="10587"/>
    <x v="10"/>
    <s v="kivel_go@yahoo.com"/>
    <x v="3"/>
    <n v="170"/>
    <n v="250"/>
    <n v="763"/>
    <n v="129710"/>
    <n v="190750"/>
    <n v="61040"/>
    <x v="1"/>
    <x v="4"/>
    <x v="6"/>
    <x v="2"/>
    <x v="0"/>
    <x v="6"/>
  </r>
  <r>
    <n v="10588"/>
    <x v="9"/>
    <s v="smithMan@yahoo.com"/>
    <x v="4"/>
    <n v="150"/>
    <n v="200"/>
    <n v="970"/>
    <n v="145500"/>
    <n v="194000"/>
    <n v="48500"/>
    <x v="2"/>
    <x v="5"/>
    <x v="7"/>
    <x v="0"/>
    <x v="1"/>
    <x v="7"/>
  </r>
  <r>
    <n v="10589"/>
    <x v="8"/>
    <s v="parentty@uk.com"/>
    <x v="5"/>
    <n v="80"/>
    <n v="150"/>
    <n v="808"/>
    <n v="64640"/>
    <n v="121200"/>
    <n v="56560"/>
    <x v="3"/>
    <x v="0"/>
    <x v="8"/>
    <x v="2"/>
    <x v="1"/>
    <x v="8"/>
  </r>
  <r>
    <n v="10590"/>
    <x v="1"/>
    <s v="gillhell@uk.com"/>
    <x v="6"/>
    <n v="90"/>
    <n v="150"/>
    <n v="952"/>
    <n v="85680"/>
    <n v="142800"/>
    <n v="57120"/>
    <x v="4"/>
    <x v="1"/>
    <x v="9"/>
    <x v="0"/>
    <x v="1"/>
    <x v="9"/>
  </r>
  <r>
    <n v="10591"/>
    <x v="9"/>
    <s v="smithMan@yahoo.com"/>
    <x v="0"/>
    <n v="150"/>
    <n v="200"/>
    <n v="918"/>
    <n v="137700"/>
    <n v="183600"/>
    <n v="45900"/>
    <x v="0"/>
    <x v="2"/>
    <x v="10"/>
    <x v="0"/>
    <x v="0"/>
    <x v="10"/>
  </r>
  <r>
    <n v="10592"/>
    <x v="3"/>
    <s v="jone.ai@yahoo.com"/>
    <x v="1"/>
    <n v="250"/>
    <n v="500"/>
    <n v="934"/>
    <n v="233500"/>
    <n v="467000"/>
    <n v="233500"/>
    <x v="1"/>
    <x v="3"/>
    <x v="11"/>
    <x v="1"/>
    <x v="0"/>
    <x v="11"/>
  </r>
  <r>
    <n v="10593"/>
    <x v="2"/>
    <s v="sorvi2000@gmail.com"/>
    <x v="2"/>
    <n v="180"/>
    <n v="450"/>
    <n v="753"/>
    <n v="135540"/>
    <n v="338850"/>
    <n v="203310"/>
    <x v="2"/>
    <x v="4"/>
    <x v="0"/>
    <x v="0"/>
    <x v="1"/>
    <x v="0"/>
  </r>
  <r>
    <n v="10594"/>
    <x v="0"/>
    <s v="jard@gmail.com"/>
    <x v="3"/>
    <n v="170"/>
    <n v="250"/>
    <n v="740"/>
    <n v="125800"/>
    <n v="185000"/>
    <n v="59200"/>
    <x v="3"/>
    <x v="5"/>
    <x v="1"/>
    <x v="1"/>
    <x v="1"/>
    <x v="1"/>
  </r>
  <r>
    <n v="10595"/>
    <x v="4"/>
    <s v="andy@gmail.com"/>
    <x v="4"/>
    <n v="150"/>
    <n v="200"/>
    <n v="829"/>
    <n v="124350"/>
    <n v="165800"/>
    <n v="41450"/>
    <x v="4"/>
    <x v="0"/>
    <x v="2"/>
    <x v="1"/>
    <x v="1"/>
    <x v="2"/>
  </r>
  <r>
    <n v="10596"/>
    <x v="7"/>
    <s v="howard_freeman@yahoo.com"/>
    <x v="5"/>
    <n v="80"/>
    <n v="150"/>
    <n v="977"/>
    <n v="78160"/>
    <n v="146550"/>
    <n v="68390"/>
    <x v="0"/>
    <x v="1"/>
    <x v="3"/>
    <x v="1"/>
    <x v="0"/>
    <x v="3"/>
  </r>
  <r>
    <n v="10597"/>
    <x v="1"/>
    <s v="gillhell@uk.com"/>
    <x v="6"/>
    <n v="90"/>
    <n v="150"/>
    <n v="968"/>
    <n v="87120"/>
    <n v="145200"/>
    <n v="58080"/>
    <x v="1"/>
    <x v="2"/>
    <x v="4"/>
    <x v="1"/>
    <x v="0"/>
    <x v="4"/>
  </r>
  <r>
    <n v="10598"/>
    <x v="1"/>
    <s v="gillhell@uk.com"/>
    <x v="0"/>
    <n v="150"/>
    <n v="200"/>
    <n v="797"/>
    <n v="119550"/>
    <n v="159400"/>
    <n v="39850"/>
    <x v="2"/>
    <x v="3"/>
    <x v="5"/>
    <x v="2"/>
    <x v="1"/>
    <x v="5"/>
  </r>
  <r>
    <n v="10599"/>
    <x v="10"/>
    <s v="kivel_go@yahoo.com"/>
    <x v="1"/>
    <n v="250"/>
    <n v="500"/>
    <n v="926"/>
    <n v="231500"/>
    <n v="463000"/>
    <n v="231500"/>
    <x v="3"/>
    <x v="4"/>
    <x v="6"/>
    <x v="1"/>
    <x v="1"/>
    <x v="6"/>
  </r>
  <r>
    <n v="10600"/>
    <x v="3"/>
    <s v="jone.ai@yahoo.com"/>
    <x v="2"/>
    <n v="180"/>
    <n v="450"/>
    <n v="925"/>
    <n v="166500"/>
    <n v="416250"/>
    <n v="249750"/>
    <x v="4"/>
    <x v="5"/>
    <x v="7"/>
    <x v="0"/>
    <x v="1"/>
    <x v="7"/>
  </r>
  <r>
    <n v="10601"/>
    <x v="6"/>
    <s v="morganny@gmail.com"/>
    <x v="3"/>
    <n v="170"/>
    <n v="250"/>
    <n v="911"/>
    <n v="154870"/>
    <n v="227750"/>
    <n v="72880"/>
    <x v="0"/>
    <x v="0"/>
    <x v="8"/>
    <x v="2"/>
    <x v="0"/>
    <x v="8"/>
  </r>
  <r>
    <n v="10602"/>
    <x v="10"/>
    <s v="kivel_go@yahoo.com"/>
    <x v="4"/>
    <n v="150"/>
    <n v="200"/>
    <n v="709"/>
    <n v="106350"/>
    <n v="141800"/>
    <n v="35450"/>
    <x v="1"/>
    <x v="1"/>
    <x v="9"/>
    <x v="2"/>
    <x v="0"/>
    <x v="9"/>
  </r>
  <r>
    <n v="10603"/>
    <x v="2"/>
    <s v="sorvi2000@gmail.com"/>
    <x v="5"/>
    <n v="80"/>
    <n v="150"/>
    <n v="791"/>
    <n v="63280"/>
    <n v="118650"/>
    <n v="55370"/>
    <x v="2"/>
    <x v="2"/>
    <x v="10"/>
    <x v="0"/>
    <x v="1"/>
    <x v="10"/>
  </r>
  <r>
    <n v="10604"/>
    <x v="1"/>
    <s v="gillhell@uk.com"/>
    <x v="6"/>
    <n v="90"/>
    <n v="150"/>
    <n v="702"/>
    <n v="63180"/>
    <n v="105300"/>
    <n v="42120"/>
    <x v="3"/>
    <x v="3"/>
    <x v="11"/>
    <x v="1"/>
    <x v="1"/>
    <x v="11"/>
  </r>
  <r>
    <n v="10605"/>
    <x v="2"/>
    <s v="sorvi2000@gmail.com"/>
    <x v="0"/>
    <n v="150"/>
    <n v="200"/>
    <n v="922"/>
    <n v="138300"/>
    <n v="184400"/>
    <n v="46100"/>
    <x v="4"/>
    <x v="4"/>
    <x v="0"/>
    <x v="2"/>
    <x v="1"/>
    <x v="0"/>
  </r>
  <r>
    <n v="10606"/>
    <x v="5"/>
    <s v="thomp@uk.com"/>
    <x v="1"/>
    <n v="250"/>
    <n v="500"/>
    <n v="957"/>
    <n v="239250"/>
    <n v="478500"/>
    <n v="239250"/>
    <x v="0"/>
    <x v="5"/>
    <x v="1"/>
    <x v="0"/>
    <x v="0"/>
    <x v="1"/>
  </r>
  <r>
    <n v="10607"/>
    <x v="4"/>
    <s v="andy@gmail.com"/>
    <x v="2"/>
    <n v="180"/>
    <n v="450"/>
    <n v="811"/>
    <n v="145980"/>
    <n v="364950"/>
    <n v="218970"/>
    <x v="1"/>
    <x v="0"/>
    <x v="2"/>
    <x v="2"/>
    <x v="0"/>
    <x v="2"/>
  </r>
  <r>
    <n v="10608"/>
    <x v="0"/>
    <s v="jard@gmail.com"/>
    <x v="3"/>
    <n v="170"/>
    <n v="250"/>
    <n v="776"/>
    <n v="131920"/>
    <n v="194000"/>
    <n v="62080"/>
    <x v="2"/>
    <x v="1"/>
    <x v="3"/>
    <x v="1"/>
    <x v="1"/>
    <x v="3"/>
  </r>
  <r>
    <n v="10609"/>
    <x v="0"/>
    <s v="jard@gmail.com"/>
    <x v="4"/>
    <n v="150"/>
    <n v="200"/>
    <n v="998"/>
    <n v="149700"/>
    <n v="199600"/>
    <n v="49900"/>
    <x v="3"/>
    <x v="2"/>
    <x v="4"/>
    <x v="1"/>
    <x v="1"/>
    <x v="4"/>
  </r>
  <r>
    <n v="10610"/>
    <x v="4"/>
    <s v="andy@gmail.com"/>
    <x v="5"/>
    <n v="80"/>
    <n v="150"/>
    <n v="872"/>
    <n v="69760"/>
    <n v="130800"/>
    <n v="61040"/>
    <x v="4"/>
    <x v="3"/>
    <x v="5"/>
    <x v="2"/>
    <x v="1"/>
    <x v="5"/>
  </r>
  <r>
    <n v="10611"/>
    <x v="3"/>
    <s v="jone.ai@yahoo.com"/>
    <x v="6"/>
    <n v="90"/>
    <n v="150"/>
    <n v="763"/>
    <n v="68670"/>
    <n v="114450"/>
    <n v="45780"/>
    <x v="0"/>
    <x v="4"/>
    <x v="6"/>
    <x v="0"/>
    <x v="0"/>
    <x v="6"/>
  </r>
  <r>
    <n v="10612"/>
    <x v="6"/>
    <s v="morganny@gmail.com"/>
    <x v="0"/>
    <n v="150"/>
    <n v="200"/>
    <n v="822"/>
    <n v="123300"/>
    <n v="164400"/>
    <n v="41100"/>
    <x v="1"/>
    <x v="5"/>
    <x v="7"/>
    <x v="2"/>
    <x v="0"/>
    <x v="7"/>
  </r>
  <r>
    <n v="10613"/>
    <x v="10"/>
    <s v="kivel_go@yahoo.com"/>
    <x v="1"/>
    <n v="250"/>
    <n v="500"/>
    <n v="721"/>
    <n v="180250"/>
    <n v="360500"/>
    <n v="180250"/>
    <x v="2"/>
    <x v="0"/>
    <x v="8"/>
    <x v="1"/>
    <x v="1"/>
    <x v="8"/>
  </r>
  <r>
    <n v="10614"/>
    <x v="2"/>
    <s v="sorvi2000@gmail.com"/>
    <x v="2"/>
    <n v="180"/>
    <n v="450"/>
    <n v="890"/>
    <n v="160200"/>
    <n v="400500"/>
    <n v="240300"/>
    <x v="3"/>
    <x v="1"/>
    <x v="9"/>
    <x v="2"/>
    <x v="1"/>
    <x v="9"/>
  </r>
  <r>
    <n v="10615"/>
    <x v="1"/>
    <s v="gillhell@uk.com"/>
    <x v="3"/>
    <n v="170"/>
    <n v="250"/>
    <n v="860"/>
    <n v="146200"/>
    <n v="215000"/>
    <n v="68800"/>
    <x v="4"/>
    <x v="2"/>
    <x v="10"/>
    <x v="0"/>
    <x v="1"/>
    <x v="10"/>
  </r>
  <r>
    <n v="10616"/>
    <x v="2"/>
    <s v="sorvi2000@gmail.com"/>
    <x v="4"/>
    <n v="150"/>
    <n v="200"/>
    <n v="824"/>
    <n v="123600"/>
    <n v="164800"/>
    <n v="41200"/>
    <x v="0"/>
    <x v="3"/>
    <x v="11"/>
    <x v="2"/>
    <x v="0"/>
    <x v="11"/>
  </r>
  <r>
    <n v="10617"/>
    <x v="5"/>
    <s v="thomp@uk.com"/>
    <x v="5"/>
    <n v="80"/>
    <n v="150"/>
    <n v="916"/>
    <n v="73280"/>
    <n v="137400"/>
    <n v="64120"/>
    <x v="1"/>
    <x v="4"/>
    <x v="0"/>
    <x v="2"/>
    <x v="0"/>
    <x v="0"/>
  </r>
  <r>
    <n v="10618"/>
    <x v="4"/>
    <s v="andy@gmail.com"/>
    <x v="6"/>
    <n v="90"/>
    <n v="150"/>
    <n v="855"/>
    <n v="76950"/>
    <n v="128250"/>
    <n v="51300"/>
    <x v="2"/>
    <x v="5"/>
    <x v="1"/>
    <x v="0"/>
    <x v="1"/>
    <x v="1"/>
  </r>
  <r>
    <n v="10619"/>
    <x v="0"/>
    <s v="jard@gmail.com"/>
    <x v="0"/>
    <n v="150"/>
    <n v="200"/>
    <n v="715"/>
    <n v="107250"/>
    <n v="143000"/>
    <n v="35750"/>
    <x v="3"/>
    <x v="0"/>
    <x v="2"/>
    <x v="1"/>
    <x v="1"/>
    <x v="2"/>
  </r>
  <r>
    <n v="10620"/>
    <x v="0"/>
    <s v="jard@gmail.com"/>
    <x v="1"/>
    <n v="250"/>
    <n v="500"/>
    <n v="940"/>
    <n v="235000"/>
    <n v="470000"/>
    <n v="235000"/>
    <x v="4"/>
    <x v="1"/>
    <x v="3"/>
    <x v="0"/>
    <x v="1"/>
    <x v="3"/>
  </r>
  <r>
    <n v="10621"/>
    <x v="4"/>
    <s v="andy@gmail.com"/>
    <x v="2"/>
    <n v="180"/>
    <n v="450"/>
    <n v="847"/>
    <n v="152460"/>
    <n v="381150"/>
    <n v="228690"/>
    <x v="0"/>
    <x v="2"/>
    <x v="4"/>
    <x v="0"/>
    <x v="0"/>
    <x v="4"/>
  </r>
  <r>
    <n v="10622"/>
    <x v="0"/>
    <s v="jard@gmail.com"/>
    <x v="3"/>
    <n v="170"/>
    <n v="250"/>
    <n v="889"/>
    <n v="151130"/>
    <n v="222250"/>
    <n v="71120"/>
    <x v="1"/>
    <x v="3"/>
    <x v="5"/>
    <x v="2"/>
    <x v="0"/>
    <x v="5"/>
  </r>
  <r>
    <n v="10623"/>
    <x v="1"/>
    <s v="gillhell@uk.com"/>
    <x v="4"/>
    <n v="150"/>
    <n v="200"/>
    <n v="928"/>
    <n v="139200"/>
    <n v="185600"/>
    <n v="46400"/>
    <x v="2"/>
    <x v="4"/>
    <x v="6"/>
    <x v="0"/>
    <x v="1"/>
    <x v="6"/>
  </r>
  <r>
    <n v="10624"/>
    <x v="2"/>
    <s v="sorvi2000@gmail.com"/>
    <x v="5"/>
    <n v="80"/>
    <n v="150"/>
    <n v="943"/>
    <n v="75440"/>
    <n v="141450"/>
    <n v="66010"/>
    <x v="3"/>
    <x v="5"/>
    <x v="7"/>
    <x v="0"/>
    <x v="1"/>
    <x v="7"/>
  </r>
  <r>
    <n v="10625"/>
    <x v="3"/>
    <s v="jone.ai@yahoo.com"/>
    <x v="6"/>
    <n v="90"/>
    <n v="150"/>
    <n v="716"/>
    <n v="64440"/>
    <n v="107400"/>
    <n v="42960"/>
    <x v="4"/>
    <x v="0"/>
    <x v="8"/>
    <x v="1"/>
    <x v="1"/>
    <x v="8"/>
  </r>
  <r>
    <n v="10626"/>
    <x v="4"/>
    <s v="andy@gmail.com"/>
    <x v="0"/>
    <n v="150"/>
    <n v="200"/>
    <n v="757"/>
    <n v="113550"/>
    <n v="151400"/>
    <n v="37850"/>
    <x v="0"/>
    <x v="1"/>
    <x v="9"/>
    <x v="1"/>
    <x v="0"/>
    <x v="9"/>
  </r>
  <r>
    <n v="10627"/>
    <x v="0"/>
    <s v="jard@gmail.com"/>
    <x v="1"/>
    <n v="250"/>
    <n v="500"/>
    <n v="795"/>
    <n v="198750"/>
    <n v="397500"/>
    <n v="198750"/>
    <x v="1"/>
    <x v="2"/>
    <x v="10"/>
    <x v="2"/>
    <x v="0"/>
    <x v="10"/>
  </r>
  <r>
    <n v="10628"/>
    <x v="5"/>
    <s v="thomp@uk.com"/>
    <x v="2"/>
    <n v="180"/>
    <n v="450"/>
    <n v="940"/>
    <n v="169200"/>
    <n v="423000"/>
    <n v="253800"/>
    <x v="2"/>
    <x v="3"/>
    <x v="11"/>
    <x v="0"/>
    <x v="1"/>
    <x v="11"/>
  </r>
  <r>
    <n v="10629"/>
    <x v="3"/>
    <s v="jone.ai@yahoo.com"/>
    <x v="3"/>
    <n v="170"/>
    <n v="250"/>
    <n v="899"/>
    <n v="152830"/>
    <n v="224750"/>
    <n v="71920"/>
    <x v="3"/>
    <x v="4"/>
    <x v="0"/>
    <x v="0"/>
    <x v="1"/>
    <x v="0"/>
  </r>
  <r>
    <n v="10630"/>
    <x v="6"/>
    <s v="morganny@gmail.com"/>
    <x v="4"/>
    <n v="150"/>
    <n v="200"/>
    <n v="907"/>
    <n v="136050"/>
    <n v="181400"/>
    <n v="45350"/>
    <x v="4"/>
    <x v="5"/>
    <x v="1"/>
    <x v="1"/>
    <x v="1"/>
    <x v="1"/>
  </r>
  <r>
    <n v="10631"/>
    <x v="7"/>
    <s v="howard_freeman@yahoo.com"/>
    <x v="5"/>
    <n v="80"/>
    <n v="150"/>
    <n v="929"/>
    <n v="74320"/>
    <n v="139350"/>
    <n v="65030"/>
    <x v="0"/>
    <x v="0"/>
    <x v="2"/>
    <x v="0"/>
    <x v="0"/>
    <x v="2"/>
  </r>
  <r>
    <n v="10632"/>
    <x v="8"/>
    <s v="parentty@uk.com"/>
    <x v="6"/>
    <n v="90"/>
    <n v="150"/>
    <n v="790"/>
    <n v="71100"/>
    <n v="118500"/>
    <n v="47400"/>
    <x v="1"/>
    <x v="1"/>
    <x v="3"/>
    <x v="1"/>
    <x v="0"/>
    <x v="3"/>
  </r>
  <r>
    <n v="10633"/>
    <x v="3"/>
    <s v="jone.ai@yahoo.com"/>
    <x v="0"/>
    <n v="150"/>
    <n v="200"/>
    <n v="939"/>
    <n v="140850"/>
    <n v="187800"/>
    <n v="46950"/>
    <x v="2"/>
    <x v="2"/>
    <x v="4"/>
    <x v="1"/>
    <x v="1"/>
    <x v="4"/>
  </r>
  <r>
    <n v="10634"/>
    <x v="9"/>
    <s v="smithMan@yahoo.com"/>
    <x v="1"/>
    <n v="250"/>
    <n v="500"/>
    <n v="720"/>
    <n v="180000"/>
    <n v="360000"/>
    <n v="180000"/>
    <x v="3"/>
    <x v="3"/>
    <x v="5"/>
    <x v="0"/>
    <x v="1"/>
    <x v="5"/>
  </r>
  <r>
    <n v="10635"/>
    <x v="3"/>
    <s v="jone.ai@yahoo.com"/>
    <x v="2"/>
    <n v="180"/>
    <n v="450"/>
    <n v="745"/>
    <n v="134100"/>
    <n v="335250"/>
    <n v="201150"/>
    <x v="4"/>
    <x v="4"/>
    <x v="6"/>
    <x v="1"/>
    <x v="1"/>
    <x v="6"/>
  </r>
  <r>
    <n v="10636"/>
    <x v="0"/>
    <s v="jard@gmail.com"/>
    <x v="3"/>
    <n v="170"/>
    <n v="250"/>
    <n v="846"/>
    <n v="143820"/>
    <n v="211500"/>
    <n v="67680"/>
    <x v="0"/>
    <x v="5"/>
    <x v="7"/>
    <x v="2"/>
    <x v="0"/>
    <x v="7"/>
  </r>
  <r>
    <n v="10637"/>
    <x v="1"/>
    <s v="gillhell@uk.com"/>
    <x v="4"/>
    <n v="150"/>
    <n v="200"/>
    <n v="937"/>
    <n v="140550"/>
    <n v="187400"/>
    <n v="46850"/>
    <x v="1"/>
    <x v="0"/>
    <x v="8"/>
    <x v="1"/>
    <x v="0"/>
    <x v="8"/>
  </r>
  <r>
    <n v="10638"/>
    <x v="2"/>
    <s v="sorvi2000@gmail.com"/>
    <x v="5"/>
    <n v="80"/>
    <n v="150"/>
    <n v="874"/>
    <n v="69920"/>
    <n v="131100"/>
    <n v="61180"/>
    <x v="2"/>
    <x v="1"/>
    <x v="9"/>
    <x v="1"/>
    <x v="1"/>
    <x v="9"/>
  </r>
  <r>
    <n v="10639"/>
    <x v="3"/>
    <s v="jone.ai@yahoo.com"/>
    <x v="6"/>
    <n v="90"/>
    <n v="150"/>
    <n v="822"/>
    <n v="73980"/>
    <n v="123300"/>
    <n v="49320"/>
    <x v="3"/>
    <x v="2"/>
    <x v="10"/>
    <x v="1"/>
    <x v="1"/>
    <x v="10"/>
  </r>
  <r>
    <n v="10640"/>
    <x v="4"/>
    <s v="andy@gmail.com"/>
    <x v="0"/>
    <n v="150"/>
    <n v="200"/>
    <n v="737"/>
    <n v="110550"/>
    <n v="147400"/>
    <n v="36850"/>
    <x v="4"/>
    <x v="3"/>
    <x v="11"/>
    <x v="2"/>
    <x v="1"/>
    <x v="11"/>
  </r>
  <r>
    <n v="10641"/>
    <x v="0"/>
    <s v="jard@gmail.com"/>
    <x v="1"/>
    <n v="250"/>
    <n v="500"/>
    <n v="759"/>
    <n v="189750"/>
    <n v="379500"/>
    <n v="189750"/>
    <x v="0"/>
    <x v="4"/>
    <x v="0"/>
    <x v="1"/>
    <x v="0"/>
    <x v="0"/>
  </r>
  <r>
    <n v="10642"/>
    <x v="5"/>
    <s v="thomp@uk.com"/>
    <x v="2"/>
    <n v="180"/>
    <n v="450"/>
    <n v="877"/>
    <n v="157860"/>
    <n v="394650"/>
    <n v="236790"/>
    <x v="1"/>
    <x v="5"/>
    <x v="1"/>
    <x v="1"/>
    <x v="0"/>
    <x v="1"/>
  </r>
  <r>
    <n v="10643"/>
    <x v="3"/>
    <s v="jone.ai@yahoo.com"/>
    <x v="3"/>
    <n v="170"/>
    <n v="250"/>
    <n v="874"/>
    <n v="148580"/>
    <n v="218500"/>
    <n v="69920"/>
    <x v="2"/>
    <x v="0"/>
    <x v="2"/>
    <x v="2"/>
    <x v="1"/>
    <x v="2"/>
  </r>
  <r>
    <n v="10644"/>
    <x v="6"/>
    <s v="morganny@gmail.com"/>
    <x v="4"/>
    <n v="150"/>
    <n v="200"/>
    <n v="763"/>
    <n v="114450"/>
    <n v="152600"/>
    <n v="38150"/>
    <x v="3"/>
    <x v="1"/>
    <x v="3"/>
    <x v="1"/>
    <x v="1"/>
    <x v="3"/>
  </r>
  <r>
    <n v="10645"/>
    <x v="7"/>
    <s v="howard_freeman@yahoo.com"/>
    <x v="5"/>
    <n v="80"/>
    <n v="150"/>
    <n v="793"/>
    <n v="63440"/>
    <n v="118950"/>
    <n v="55510"/>
    <x v="4"/>
    <x v="2"/>
    <x v="4"/>
    <x v="1"/>
    <x v="1"/>
    <x v="4"/>
  </r>
  <r>
    <n v="10646"/>
    <x v="8"/>
    <s v="parentty@uk.com"/>
    <x v="6"/>
    <n v="90"/>
    <n v="150"/>
    <n v="937"/>
    <n v="84330"/>
    <n v="140550"/>
    <n v="56220"/>
    <x v="0"/>
    <x v="3"/>
    <x v="5"/>
    <x v="0"/>
    <x v="0"/>
    <x v="5"/>
  </r>
  <r>
    <n v="10647"/>
    <x v="3"/>
    <s v="jone.ai@yahoo.com"/>
    <x v="0"/>
    <n v="150"/>
    <n v="200"/>
    <n v="865"/>
    <n v="129750"/>
    <n v="173000"/>
    <n v="43250"/>
    <x v="1"/>
    <x v="4"/>
    <x v="6"/>
    <x v="1"/>
    <x v="0"/>
    <x v="6"/>
  </r>
  <r>
    <n v="10648"/>
    <x v="9"/>
    <s v="smithMan@yahoo.com"/>
    <x v="1"/>
    <n v="250"/>
    <n v="500"/>
    <n v="942"/>
    <n v="235500"/>
    <n v="471000"/>
    <n v="235500"/>
    <x v="2"/>
    <x v="5"/>
    <x v="7"/>
    <x v="0"/>
    <x v="1"/>
    <x v="7"/>
  </r>
  <r>
    <n v="10649"/>
    <x v="3"/>
    <s v="jone.ai@yahoo.com"/>
    <x v="2"/>
    <n v="180"/>
    <n v="450"/>
    <n v="815"/>
    <n v="146700"/>
    <n v="366750"/>
    <n v="220050"/>
    <x v="3"/>
    <x v="0"/>
    <x v="8"/>
    <x v="2"/>
    <x v="1"/>
    <x v="8"/>
  </r>
  <r>
    <n v="10650"/>
    <x v="6"/>
    <s v="morganny@gmail.com"/>
    <x v="3"/>
    <n v="170"/>
    <n v="250"/>
    <n v="958"/>
    <n v="162860"/>
    <n v="239500"/>
    <n v="76640"/>
    <x v="4"/>
    <x v="1"/>
    <x v="9"/>
    <x v="0"/>
    <x v="1"/>
    <x v="9"/>
  </r>
  <r>
    <n v="10651"/>
    <x v="3"/>
    <s v="jone.ai@yahoo.com"/>
    <x v="4"/>
    <n v="150"/>
    <n v="200"/>
    <n v="869"/>
    <n v="130350"/>
    <n v="173800"/>
    <n v="43450"/>
    <x v="0"/>
    <x v="2"/>
    <x v="10"/>
    <x v="1"/>
    <x v="0"/>
    <x v="10"/>
  </r>
  <r>
    <n v="10652"/>
    <x v="8"/>
    <s v="parentty@uk.com"/>
    <x v="5"/>
    <n v="80"/>
    <n v="150"/>
    <n v="750"/>
    <n v="60000"/>
    <n v="112500"/>
    <n v="52500"/>
    <x v="1"/>
    <x v="3"/>
    <x v="11"/>
    <x v="1"/>
    <x v="0"/>
    <x v="11"/>
  </r>
  <r>
    <n v="10653"/>
    <x v="10"/>
    <s v="kivel_go@yahoo.com"/>
    <x v="6"/>
    <n v="90"/>
    <n v="150"/>
    <n v="702"/>
    <n v="63180"/>
    <n v="105300"/>
    <n v="42120"/>
    <x v="2"/>
    <x v="4"/>
    <x v="0"/>
    <x v="2"/>
    <x v="1"/>
    <x v="0"/>
  </r>
  <r>
    <n v="10654"/>
    <x v="9"/>
    <s v="smithMan@yahoo.com"/>
    <x v="0"/>
    <n v="150"/>
    <n v="200"/>
    <n v="917"/>
    <n v="137550"/>
    <n v="183400"/>
    <n v="45850"/>
    <x v="3"/>
    <x v="5"/>
    <x v="1"/>
    <x v="0"/>
    <x v="1"/>
    <x v="1"/>
  </r>
  <r>
    <n v="10655"/>
    <x v="8"/>
    <s v="parentty@uk.com"/>
    <x v="1"/>
    <n v="250"/>
    <n v="500"/>
    <n v="914"/>
    <n v="228500"/>
    <n v="457000"/>
    <n v="228500"/>
    <x v="4"/>
    <x v="0"/>
    <x v="2"/>
    <x v="0"/>
    <x v="1"/>
    <x v="2"/>
  </r>
  <r>
    <n v="10656"/>
    <x v="1"/>
    <s v="gillhell@uk.com"/>
    <x v="2"/>
    <n v="180"/>
    <n v="450"/>
    <n v="817"/>
    <n v="147060"/>
    <n v="367650"/>
    <n v="220590"/>
    <x v="0"/>
    <x v="1"/>
    <x v="3"/>
    <x v="1"/>
    <x v="0"/>
    <x v="3"/>
  </r>
  <r>
    <n v="10657"/>
    <x v="9"/>
    <s v="smithMan@yahoo.com"/>
    <x v="3"/>
    <n v="170"/>
    <n v="250"/>
    <n v="913"/>
    <n v="155210"/>
    <n v="228250"/>
    <n v="73040"/>
    <x v="1"/>
    <x v="2"/>
    <x v="4"/>
    <x v="1"/>
    <x v="0"/>
    <x v="4"/>
  </r>
  <r>
    <n v="10658"/>
    <x v="3"/>
    <s v="jone.ai@yahoo.com"/>
    <x v="4"/>
    <n v="150"/>
    <n v="200"/>
    <n v="705"/>
    <n v="105750"/>
    <n v="141000"/>
    <n v="35250"/>
    <x v="2"/>
    <x v="3"/>
    <x v="5"/>
    <x v="1"/>
    <x v="1"/>
    <x v="5"/>
  </r>
  <r>
    <n v="10659"/>
    <x v="2"/>
    <s v="sorvi2000@gmail.com"/>
    <x v="5"/>
    <n v="80"/>
    <n v="150"/>
    <n v="964"/>
    <n v="77120"/>
    <n v="144600"/>
    <n v="67480"/>
    <x v="3"/>
    <x v="4"/>
    <x v="6"/>
    <x v="2"/>
    <x v="1"/>
    <x v="6"/>
  </r>
  <r>
    <n v="10660"/>
    <x v="0"/>
    <s v="jard@gmail.com"/>
    <x v="6"/>
    <n v="90"/>
    <n v="150"/>
    <n v="891"/>
    <n v="80190"/>
    <n v="133650"/>
    <n v="53460"/>
    <x v="4"/>
    <x v="5"/>
    <x v="7"/>
    <x v="2"/>
    <x v="1"/>
    <x v="7"/>
  </r>
  <r>
    <n v="10661"/>
    <x v="4"/>
    <s v="andy@gmail.com"/>
    <x v="0"/>
    <n v="150"/>
    <n v="200"/>
    <n v="977"/>
    <n v="146550"/>
    <n v="195400"/>
    <n v="48850"/>
    <x v="0"/>
    <x v="0"/>
    <x v="8"/>
    <x v="0"/>
    <x v="0"/>
    <x v="8"/>
  </r>
  <r>
    <n v="10662"/>
    <x v="7"/>
    <s v="howard_freeman@yahoo.com"/>
    <x v="1"/>
    <n v="250"/>
    <n v="500"/>
    <n v="948"/>
    <n v="237000"/>
    <n v="474000"/>
    <n v="237000"/>
    <x v="1"/>
    <x v="1"/>
    <x v="9"/>
    <x v="0"/>
    <x v="0"/>
    <x v="9"/>
  </r>
  <r>
    <n v="10663"/>
    <x v="1"/>
    <s v="gillhell@uk.com"/>
    <x v="2"/>
    <n v="180"/>
    <n v="450"/>
    <n v="751"/>
    <n v="135180"/>
    <n v="337950"/>
    <n v="202770"/>
    <x v="2"/>
    <x v="2"/>
    <x v="10"/>
    <x v="2"/>
    <x v="1"/>
    <x v="10"/>
  </r>
  <r>
    <n v="10664"/>
    <x v="1"/>
    <s v="gillhell@uk.com"/>
    <x v="3"/>
    <n v="170"/>
    <n v="250"/>
    <n v="827"/>
    <n v="140590"/>
    <n v="206750"/>
    <n v="66160"/>
    <x v="3"/>
    <x v="3"/>
    <x v="11"/>
    <x v="2"/>
    <x v="1"/>
    <x v="11"/>
  </r>
  <r>
    <n v="10665"/>
    <x v="10"/>
    <s v="kivel_go@yahoo.com"/>
    <x v="4"/>
    <n v="150"/>
    <n v="200"/>
    <n v="943"/>
    <n v="141450"/>
    <n v="188600"/>
    <n v="47150"/>
    <x v="4"/>
    <x v="4"/>
    <x v="0"/>
    <x v="0"/>
    <x v="1"/>
    <x v="0"/>
  </r>
  <r>
    <n v="10666"/>
    <x v="3"/>
    <s v="jone.ai@yahoo.com"/>
    <x v="5"/>
    <n v="80"/>
    <n v="150"/>
    <n v="901"/>
    <n v="72080"/>
    <n v="135150"/>
    <n v="63070"/>
    <x v="0"/>
    <x v="5"/>
    <x v="1"/>
    <x v="0"/>
    <x v="0"/>
    <x v="1"/>
  </r>
  <r>
    <n v="10667"/>
    <x v="6"/>
    <s v="morganny@gmail.com"/>
    <x v="6"/>
    <n v="90"/>
    <n v="150"/>
    <n v="907"/>
    <n v="81630"/>
    <n v="136050"/>
    <n v="54420"/>
    <x v="1"/>
    <x v="0"/>
    <x v="2"/>
    <x v="0"/>
    <x v="0"/>
    <x v="2"/>
  </r>
  <r>
    <n v="10668"/>
    <x v="10"/>
    <s v="kivel_go@yahoo.com"/>
    <x v="0"/>
    <n v="150"/>
    <n v="200"/>
    <n v="755"/>
    <n v="113250"/>
    <n v="151000"/>
    <n v="37750"/>
    <x v="2"/>
    <x v="1"/>
    <x v="3"/>
    <x v="1"/>
    <x v="1"/>
    <x v="3"/>
  </r>
  <r>
    <n v="10669"/>
    <x v="2"/>
    <s v="sorvi2000@gmail.com"/>
    <x v="1"/>
    <n v="250"/>
    <n v="500"/>
    <n v="802"/>
    <n v="200500"/>
    <n v="401000"/>
    <n v="200500"/>
    <x v="3"/>
    <x v="2"/>
    <x v="4"/>
    <x v="2"/>
    <x v="1"/>
    <x v="4"/>
  </r>
  <r>
    <n v="10670"/>
    <x v="1"/>
    <s v="gillhell@uk.com"/>
    <x v="2"/>
    <n v="180"/>
    <n v="450"/>
    <n v="919"/>
    <n v="165420"/>
    <n v="413550"/>
    <n v="248130"/>
    <x v="4"/>
    <x v="3"/>
    <x v="5"/>
    <x v="0"/>
    <x v="1"/>
    <x v="5"/>
  </r>
  <r>
    <n v="10671"/>
    <x v="2"/>
    <s v="sorvi2000@gmail.com"/>
    <x v="3"/>
    <n v="170"/>
    <n v="250"/>
    <n v="824"/>
    <n v="140080"/>
    <n v="206000"/>
    <n v="65920"/>
    <x v="0"/>
    <x v="4"/>
    <x v="6"/>
    <x v="2"/>
    <x v="0"/>
    <x v="6"/>
  </r>
  <r>
    <n v="10672"/>
    <x v="5"/>
    <s v="thomp@uk.com"/>
    <x v="4"/>
    <n v="150"/>
    <n v="200"/>
    <n v="730"/>
    <n v="109500"/>
    <n v="146000"/>
    <n v="36500"/>
    <x v="1"/>
    <x v="5"/>
    <x v="7"/>
    <x v="2"/>
    <x v="0"/>
    <x v="7"/>
  </r>
  <r>
    <n v="10673"/>
    <x v="4"/>
    <s v="andy@gmail.com"/>
    <x v="5"/>
    <n v="80"/>
    <n v="150"/>
    <n v="798"/>
    <n v="63840"/>
    <n v="119700"/>
    <n v="55860"/>
    <x v="2"/>
    <x v="0"/>
    <x v="8"/>
    <x v="1"/>
    <x v="1"/>
    <x v="8"/>
  </r>
  <r>
    <n v="10674"/>
    <x v="0"/>
    <s v="jard@gmail.com"/>
    <x v="6"/>
    <n v="90"/>
    <n v="150"/>
    <n v="811"/>
    <n v="72990"/>
    <n v="121650"/>
    <n v="48660"/>
    <x v="3"/>
    <x v="1"/>
    <x v="9"/>
    <x v="1"/>
    <x v="1"/>
    <x v="9"/>
  </r>
  <r>
    <n v="10675"/>
    <x v="0"/>
    <s v="jard@gmail.com"/>
    <x v="0"/>
    <n v="150"/>
    <n v="200"/>
    <n v="912"/>
    <n v="136800"/>
    <n v="182400"/>
    <n v="45600"/>
    <x v="4"/>
    <x v="2"/>
    <x v="10"/>
    <x v="1"/>
    <x v="1"/>
    <x v="10"/>
  </r>
  <r>
    <n v="10676"/>
    <x v="4"/>
    <s v="andy@gmail.com"/>
    <x v="1"/>
    <n v="250"/>
    <n v="500"/>
    <n v="836"/>
    <n v="209000"/>
    <n v="418000"/>
    <n v="209000"/>
    <x v="0"/>
    <x v="3"/>
    <x v="11"/>
    <x v="2"/>
    <x v="0"/>
    <x v="11"/>
  </r>
  <r>
    <n v="10677"/>
    <x v="0"/>
    <s v="jard@gmail.com"/>
    <x v="2"/>
    <n v="180"/>
    <n v="450"/>
    <n v="953"/>
    <n v="171540"/>
    <n v="428850"/>
    <n v="257310"/>
    <x v="1"/>
    <x v="4"/>
    <x v="0"/>
    <x v="1"/>
    <x v="0"/>
    <x v="0"/>
  </r>
  <r>
    <n v="10678"/>
    <x v="1"/>
    <s v="gillhell@uk.com"/>
    <x v="3"/>
    <n v="170"/>
    <n v="250"/>
    <n v="908"/>
    <n v="154360"/>
    <n v="227000"/>
    <n v="72640"/>
    <x v="2"/>
    <x v="5"/>
    <x v="1"/>
    <x v="1"/>
    <x v="1"/>
    <x v="1"/>
  </r>
  <r>
    <n v="10679"/>
    <x v="2"/>
    <s v="sorvi2000@gmail.com"/>
    <x v="4"/>
    <n v="150"/>
    <n v="200"/>
    <n v="859"/>
    <n v="128850"/>
    <n v="171800"/>
    <n v="42950"/>
    <x v="3"/>
    <x v="0"/>
    <x v="2"/>
    <x v="0"/>
    <x v="1"/>
    <x v="2"/>
  </r>
  <r>
    <n v="10680"/>
    <x v="3"/>
    <s v="jone.ai@yahoo.com"/>
    <x v="5"/>
    <n v="80"/>
    <n v="150"/>
    <n v="928"/>
    <n v="74240"/>
    <n v="139200"/>
    <n v="64960"/>
    <x v="4"/>
    <x v="1"/>
    <x v="3"/>
    <x v="2"/>
    <x v="1"/>
    <x v="3"/>
  </r>
  <r>
    <n v="10681"/>
    <x v="4"/>
    <s v="andy@gmail.com"/>
    <x v="6"/>
    <n v="90"/>
    <n v="150"/>
    <n v="716"/>
    <n v="64440"/>
    <n v="107400"/>
    <n v="42960"/>
    <x v="0"/>
    <x v="2"/>
    <x v="4"/>
    <x v="0"/>
    <x v="0"/>
    <x v="4"/>
  </r>
  <r>
    <n v="10682"/>
    <x v="0"/>
    <s v="jard@gmail.com"/>
    <x v="0"/>
    <n v="150"/>
    <n v="200"/>
    <n v="946"/>
    <n v="141900"/>
    <n v="189200"/>
    <n v="47300"/>
    <x v="1"/>
    <x v="3"/>
    <x v="5"/>
    <x v="2"/>
    <x v="0"/>
    <x v="5"/>
  </r>
  <r>
    <n v="10683"/>
    <x v="5"/>
    <s v="thomp@uk.com"/>
    <x v="1"/>
    <n v="250"/>
    <n v="500"/>
    <n v="913"/>
    <n v="228250"/>
    <n v="456500"/>
    <n v="228250"/>
    <x v="2"/>
    <x v="4"/>
    <x v="6"/>
    <x v="1"/>
    <x v="1"/>
    <x v="6"/>
  </r>
  <r>
    <n v="10684"/>
    <x v="3"/>
    <s v="jone.ai@yahoo.com"/>
    <x v="2"/>
    <n v="180"/>
    <n v="450"/>
    <n v="947"/>
    <n v="170460"/>
    <n v="426150"/>
    <n v="255690"/>
    <x v="3"/>
    <x v="5"/>
    <x v="7"/>
    <x v="0"/>
    <x v="1"/>
    <x v="7"/>
  </r>
  <r>
    <n v="10685"/>
    <x v="6"/>
    <s v="morganny@gmail.com"/>
    <x v="3"/>
    <n v="170"/>
    <n v="250"/>
    <n v="743"/>
    <n v="126310"/>
    <n v="185750"/>
    <n v="59440"/>
    <x v="4"/>
    <x v="0"/>
    <x v="8"/>
    <x v="1"/>
    <x v="1"/>
    <x v="8"/>
  </r>
  <r>
    <n v="10686"/>
    <x v="7"/>
    <s v="howard_freeman@yahoo.com"/>
    <x v="4"/>
    <n v="150"/>
    <n v="200"/>
    <n v="788"/>
    <n v="118200"/>
    <n v="157600"/>
    <n v="39400"/>
    <x v="0"/>
    <x v="1"/>
    <x v="9"/>
    <x v="1"/>
    <x v="0"/>
    <x v="9"/>
  </r>
  <r>
    <n v="10687"/>
    <x v="8"/>
    <s v="parentty@uk.com"/>
    <x v="5"/>
    <n v="80"/>
    <n v="150"/>
    <n v="810"/>
    <n v="64800"/>
    <n v="121500"/>
    <n v="56700"/>
    <x v="1"/>
    <x v="2"/>
    <x v="10"/>
    <x v="2"/>
    <x v="0"/>
    <x v="10"/>
  </r>
  <r>
    <n v="10688"/>
    <x v="3"/>
    <s v="jone.ai@yahoo.com"/>
    <x v="6"/>
    <n v="90"/>
    <n v="150"/>
    <n v="784"/>
    <n v="70560"/>
    <n v="117600"/>
    <n v="47040"/>
    <x v="2"/>
    <x v="3"/>
    <x v="11"/>
    <x v="1"/>
    <x v="1"/>
    <x v="11"/>
  </r>
  <r>
    <n v="10689"/>
    <x v="9"/>
    <s v="smithMan@yahoo.com"/>
    <x v="0"/>
    <n v="150"/>
    <n v="200"/>
    <n v="813"/>
    <n v="121950"/>
    <n v="162600"/>
    <n v="40650"/>
    <x v="3"/>
    <x v="4"/>
    <x v="0"/>
    <x v="2"/>
    <x v="1"/>
    <x v="0"/>
  </r>
  <r>
    <n v="10690"/>
    <x v="3"/>
    <s v="jone.ai@yahoo.com"/>
    <x v="1"/>
    <n v="250"/>
    <n v="500"/>
    <n v="998"/>
    <n v="249500"/>
    <n v="499000"/>
    <n v="249500"/>
    <x v="4"/>
    <x v="5"/>
    <x v="1"/>
    <x v="2"/>
    <x v="1"/>
    <x v="1"/>
  </r>
  <r>
    <n v="10691"/>
    <x v="6"/>
    <s v="morganny@gmail.com"/>
    <x v="2"/>
    <n v="180"/>
    <n v="450"/>
    <n v="889"/>
    <n v="160020"/>
    <n v="400050"/>
    <n v="240030"/>
    <x v="0"/>
    <x v="0"/>
    <x v="2"/>
    <x v="1"/>
    <x v="0"/>
    <x v="2"/>
  </r>
  <r>
    <n v="10692"/>
    <x v="3"/>
    <s v="jone.ai@yahoo.com"/>
    <x v="3"/>
    <n v="170"/>
    <n v="250"/>
    <n v="783"/>
    <n v="133110"/>
    <n v="195750"/>
    <n v="62640"/>
    <x v="1"/>
    <x v="1"/>
    <x v="3"/>
    <x v="0"/>
    <x v="0"/>
    <x v="3"/>
  </r>
  <r>
    <n v="10693"/>
    <x v="8"/>
    <s v="parentty@uk.com"/>
    <x v="4"/>
    <n v="150"/>
    <n v="200"/>
    <n v="866"/>
    <n v="129900"/>
    <n v="173200"/>
    <n v="43300"/>
    <x v="2"/>
    <x v="2"/>
    <x v="4"/>
    <x v="2"/>
    <x v="1"/>
    <x v="4"/>
  </r>
  <r>
    <n v="10694"/>
    <x v="10"/>
    <s v="kivel_go@yahoo.com"/>
    <x v="5"/>
    <n v="80"/>
    <n v="150"/>
    <n v="840"/>
    <n v="67200"/>
    <n v="126000"/>
    <n v="58800"/>
    <x v="3"/>
    <x v="3"/>
    <x v="5"/>
    <x v="1"/>
    <x v="1"/>
    <x v="5"/>
  </r>
  <r>
    <n v="10695"/>
    <x v="9"/>
    <s v="smithMan@yahoo.com"/>
    <x v="6"/>
    <n v="90"/>
    <n v="150"/>
    <n v="905"/>
    <n v="81450"/>
    <n v="135750"/>
    <n v="54300"/>
    <x v="4"/>
    <x v="4"/>
    <x v="6"/>
    <x v="2"/>
    <x v="1"/>
    <x v="6"/>
  </r>
  <r>
    <n v="10696"/>
    <x v="8"/>
    <s v="parentty@uk.com"/>
    <x v="0"/>
    <n v="150"/>
    <n v="200"/>
    <n v="814"/>
    <n v="122100"/>
    <n v="162800"/>
    <n v="40700"/>
    <x v="0"/>
    <x v="5"/>
    <x v="7"/>
    <x v="0"/>
    <x v="0"/>
    <x v="7"/>
  </r>
  <r>
    <n v="10697"/>
    <x v="1"/>
    <s v="gillhell@uk.com"/>
    <x v="1"/>
    <n v="250"/>
    <n v="500"/>
    <n v="878"/>
    <n v="219500"/>
    <n v="439000"/>
    <n v="219500"/>
    <x v="1"/>
    <x v="0"/>
    <x v="8"/>
    <x v="1"/>
    <x v="0"/>
    <x v="8"/>
  </r>
  <r>
    <n v="10698"/>
    <x v="9"/>
    <s v="smithMan@yahoo.com"/>
    <x v="2"/>
    <n v="180"/>
    <n v="450"/>
    <n v="819"/>
    <n v="147420"/>
    <n v="368550"/>
    <n v="221130"/>
    <x v="2"/>
    <x v="1"/>
    <x v="9"/>
    <x v="1"/>
    <x v="1"/>
    <x v="9"/>
  </r>
  <r>
    <n v="10699"/>
    <x v="3"/>
    <s v="jone.ai@yahoo.com"/>
    <x v="3"/>
    <n v="170"/>
    <n v="250"/>
    <n v="899"/>
    <n v="152830"/>
    <n v="224750"/>
    <n v="71920"/>
    <x v="3"/>
    <x v="2"/>
    <x v="10"/>
    <x v="0"/>
    <x v="1"/>
    <x v="10"/>
  </r>
  <r>
    <n v="10700"/>
    <x v="2"/>
    <s v="sorvi2000@gmail.com"/>
    <x v="4"/>
    <n v="150"/>
    <n v="200"/>
    <n v="897"/>
    <n v="134550"/>
    <n v="179400"/>
    <n v="44850"/>
    <x v="4"/>
    <x v="3"/>
    <x v="11"/>
    <x v="0"/>
    <x v="1"/>
    <x v="11"/>
  </r>
  <r>
    <n v="10701"/>
    <x v="0"/>
    <s v="jard@gmail.com"/>
    <x v="5"/>
    <n v="80"/>
    <n v="150"/>
    <n v="753"/>
    <n v="60240"/>
    <n v="112950"/>
    <n v="52710"/>
    <x v="0"/>
    <x v="4"/>
    <x v="0"/>
    <x v="2"/>
    <x v="0"/>
    <x v="0"/>
  </r>
  <r>
    <n v="10702"/>
    <x v="4"/>
    <s v="andy@gmail.com"/>
    <x v="6"/>
    <n v="90"/>
    <n v="150"/>
    <n v="781"/>
    <n v="70290"/>
    <n v="117150"/>
    <n v="46860"/>
    <x v="1"/>
    <x v="5"/>
    <x v="1"/>
    <x v="1"/>
    <x v="0"/>
    <x v="1"/>
  </r>
  <r>
    <n v="10703"/>
    <x v="7"/>
    <s v="howard_freeman@yahoo.com"/>
    <x v="0"/>
    <n v="150"/>
    <n v="200"/>
    <n v="911"/>
    <n v="136650"/>
    <n v="182200"/>
    <n v="45550"/>
    <x v="2"/>
    <x v="0"/>
    <x v="2"/>
    <x v="1"/>
    <x v="1"/>
    <x v="2"/>
  </r>
  <r>
    <n v="10704"/>
    <x v="1"/>
    <s v="gillhell@uk.com"/>
    <x v="1"/>
    <n v="250"/>
    <n v="500"/>
    <n v="730"/>
    <n v="182500"/>
    <n v="365000"/>
    <n v="182500"/>
    <x v="3"/>
    <x v="1"/>
    <x v="3"/>
    <x v="1"/>
    <x v="1"/>
    <x v="3"/>
  </r>
  <r>
    <n v="10705"/>
    <x v="1"/>
    <s v="gillhell@uk.com"/>
    <x v="2"/>
    <n v="180"/>
    <n v="450"/>
    <n v="912"/>
    <n v="164160"/>
    <n v="410400"/>
    <n v="246240"/>
    <x v="4"/>
    <x v="2"/>
    <x v="4"/>
    <x v="2"/>
    <x v="1"/>
    <x v="4"/>
  </r>
  <r>
    <n v="10706"/>
    <x v="10"/>
    <s v="kivel_go@yahoo.com"/>
    <x v="3"/>
    <n v="170"/>
    <n v="250"/>
    <n v="755"/>
    <n v="128350"/>
    <n v="188750"/>
    <n v="60400"/>
    <x v="0"/>
    <x v="3"/>
    <x v="5"/>
    <x v="0"/>
    <x v="0"/>
    <x v="5"/>
  </r>
  <r>
    <n v="10707"/>
    <x v="3"/>
    <s v="jone.ai@yahoo.com"/>
    <x v="4"/>
    <n v="150"/>
    <n v="200"/>
    <n v="981"/>
    <n v="147150"/>
    <n v="196200"/>
    <n v="49050"/>
    <x v="1"/>
    <x v="4"/>
    <x v="6"/>
    <x v="1"/>
    <x v="0"/>
    <x v="6"/>
  </r>
  <r>
    <n v="10708"/>
    <x v="6"/>
    <s v="morganny@gmail.com"/>
    <x v="5"/>
    <n v="80"/>
    <n v="150"/>
    <n v="914"/>
    <n v="73120"/>
    <n v="137100"/>
    <n v="63980"/>
    <x v="2"/>
    <x v="5"/>
    <x v="7"/>
    <x v="1"/>
    <x v="1"/>
    <x v="7"/>
  </r>
  <r>
    <n v="10709"/>
    <x v="10"/>
    <s v="kivel_go@yahoo.com"/>
    <x v="6"/>
    <n v="90"/>
    <n v="150"/>
    <n v="705"/>
    <n v="63450"/>
    <n v="105750"/>
    <n v="42300"/>
    <x v="3"/>
    <x v="0"/>
    <x v="8"/>
    <x v="0"/>
    <x v="1"/>
    <x v="8"/>
  </r>
  <r>
    <n v="10710"/>
    <x v="2"/>
    <s v="sorvi2000@gmail.com"/>
    <x v="0"/>
    <n v="150"/>
    <n v="200"/>
    <n v="774"/>
    <n v="116100"/>
    <n v="154800"/>
    <n v="38700"/>
    <x v="4"/>
    <x v="1"/>
    <x v="9"/>
    <x v="1"/>
    <x v="1"/>
    <x v="9"/>
  </r>
  <r>
    <n v="10711"/>
    <x v="1"/>
    <s v="gillhell@uk.com"/>
    <x v="1"/>
    <n v="250"/>
    <n v="500"/>
    <n v="748"/>
    <n v="187000"/>
    <n v="374000"/>
    <n v="187000"/>
    <x v="0"/>
    <x v="2"/>
    <x v="10"/>
    <x v="2"/>
    <x v="0"/>
    <x v="10"/>
  </r>
  <r>
    <n v="10712"/>
    <x v="2"/>
    <s v="sorvi2000@gmail.com"/>
    <x v="2"/>
    <n v="180"/>
    <n v="450"/>
    <n v="807"/>
    <n v="145260"/>
    <n v="363150"/>
    <n v="217890"/>
    <x v="1"/>
    <x v="3"/>
    <x v="11"/>
    <x v="1"/>
    <x v="0"/>
    <x v="11"/>
  </r>
  <r>
    <n v="10713"/>
    <x v="5"/>
    <s v="thomp@uk.com"/>
    <x v="3"/>
    <n v="170"/>
    <n v="250"/>
    <n v="877"/>
    <n v="149090"/>
    <n v="219250"/>
    <n v="70160"/>
    <x v="2"/>
    <x v="4"/>
    <x v="0"/>
    <x v="1"/>
    <x v="1"/>
    <x v="0"/>
  </r>
  <r>
    <n v="10714"/>
    <x v="4"/>
    <s v="andy@gmail.com"/>
    <x v="4"/>
    <n v="150"/>
    <n v="200"/>
    <n v="965"/>
    <n v="144750"/>
    <n v="193000"/>
    <n v="48250"/>
    <x v="3"/>
    <x v="5"/>
    <x v="1"/>
    <x v="2"/>
    <x v="1"/>
    <x v="1"/>
  </r>
  <r>
    <n v="10715"/>
    <x v="0"/>
    <s v="jard@gmail.com"/>
    <x v="5"/>
    <n v="80"/>
    <n v="150"/>
    <n v="728"/>
    <n v="58240"/>
    <n v="109200"/>
    <n v="50960"/>
    <x v="4"/>
    <x v="0"/>
    <x v="2"/>
    <x v="2"/>
    <x v="1"/>
    <x v="2"/>
  </r>
  <r>
    <n v="10716"/>
    <x v="0"/>
    <s v="jard@gmail.com"/>
    <x v="6"/>
    <n v="90"/>
    <n v="150"/>
    <n v="792"/>
    <n v="71280"/>
    <n v="118800"/>
    <n v="47520"/>
    <x v="0"/>
    <x v="1"/>
    <x v="3"/>
    <x v="2"/>
    <x v="0"/>
    <x v="3"/>
  </r>
  <r>
    <n v="10717"/>
    <x v="4"/>
    <s v="andy@gmail.com"/>
    <x v="0"/>
    <n v="150"/>
    <n v="200"/>
    <n v="878"/>
    <n v="131700"/>
    <n v="175600"/>
    <n v="43900"/>
    <x v="1"/>
    <x v="2"/>
    <x v="4"/>
    <x v="2"/>
    <x v="0"/>
    <x v="4"/>
  </r>
  <r>
    <n v="10718"/>
    <x v="3"/>
    <s v="jone.ai@yahoo.com"/>
    <x v="1"/>
    <n v="250"/>
    <n v="500"/>
    <n v="886"/>
    <n v="221500"/>
    <n v="443000"/>
    <n v="221500"/>
    <x v="2"/>
    <x v="3"/>
    <x v="5"/>
    <x v="2"/>
    <x v="1"/>
    <x v="5"/>
  </r>
  <r>
    <n v="10719"/>
    <x v="6"/>
    <s v="morganny@gmail.com"/>
    <x v="2"/>
    <n v="180"/>
    <n v="450"/>
    <n v="995"/>
    <n v="179100"/>
    <n v="447750"/>
    <n v="268650"/>
    <x v="3"/>
    <x v="4"/>
    <x v="6"/>
    <x v="2"/>
    <x v="1"/>
    <x v="6"/>
  </r>
  <r>
    <n v="10720"/>
    <x v="10"/>
    <s v="kivel_go@yahoo.com"/>
    <x v="3"/>
    <n v="170"/>
    <n v="250"/>
    <n v="851"/>
    <n v="144670"/>
    <n v="212750"/>
    <n v="68080"/>
    <x v="4"/>
    <x v="5"/>
    <x v="7"/>
    <x v="0"/>
    <x v="1"/>
    <x v="7"/>
  </r>
  <r>
    <n v="10721"/>
    <x v="2"/>
    <s v="sorvi2000@gmail.com"/>
    <x v="4"/>
    <n v="150"/>
    <n v="200"/>
    <n v="866"/>
    <n v="129900"/>
    <n v="173200"/>
    <n v="43300"/>
    <x v="0"/>
    <x v="0"/>
    <x v="8"/>
    <x v="2"/>
    <x v="0"/>
    <x v="8"/>
  </r>
  <r>
    <n v="10722"/>
    <x v="1"/>
    <s v="gillhell@uk.com"/>
    <x v="5"/>
    <n v="80"/>
    <n v="150"/>
    <n v="987"/>
    <n v="78960"/>
    <n v="148050"/>
    <n v="69090"/>
    <x v="1"/>
    <x v="1"/>
    <x v="9"/>
    <x v="2"/>
    <x v="0"/>
    <x v="9"/>
  </r>
  <r>
    <n v="10723"/>
    <x v="2"/>
    <s v="sorvi2000@gmail.com"/>
    <x v="6"/>
    <n v="90"/>
    <n v="150"/>
    <n v="776"/>
    <n v="69840"/>
    <n v="116400"/>
    <n v="46560"/>
    <x v="2"/>
    <x v="2"/>
    <x v="10"/>
    <x v="0"/>
    <x v="1"/>
    <x v="10"/>
  </r>
  <r>
    <n v="10724"/>
    <x v="5"/>
    <s v="thomp@uk.com"/>
    <x v="0"/>
    <n v="150"/>
    <n v="200"/>
    <n v="969"/>
    <n v="145350"/>
    <n v="193800"/>
    <n v="48450"/>
    <x v="3"/>
    <x v="3"/>
    <x v="11"/>
    <x v="2"/>
    <x v="1"/>
    <x v="11"/>
  </r>
  <r>
    <n v="10725"/>
    <x v="4"/>
    <s v="andy@gmail.com"/>
    <x v="1"/>
    <n v="250"/>
    <n v="500"/>
    <n v="718"/>
    <n v="179500"/>
    <n v="359000"/>
    <n v="179500"/>
    <x v="4"/>
    <x v="4"/>
    <x v="0"/>
    <x v="2"/>
    <x v="1"/>
    <x v="0"/>
  </r>
  <r>
    <n v="10726"/>
    <x v="0"/>
    <s v="jard@gmail.com"/>
    <x v="2"/>
    <n v="180"/>
    <n v="450"/>
    <n v="787"/>
    <n v="141660"/>
    <n v="354150"/>
    <n v="212490"/>
    <x v="0"/>
    <x v="5"/>
    <x v="1"/>
    <x v="1"/>
    <x v="0"/>
    <x v="1"/>
  </r>
  <r>
    <n v="10727"/>
    <x v="0"/>
    <s v="jard@gmail.com"/>
    <x v="3"/>
    <n v="170"/>
    <n v="250"/>
    <n v="901"/>
    <n v="153170"/>
    <n v="225250"/>
    <n v="72080"/>
    <x v="1"/>
    <x v="0"/>
    <x v="2"/>
    <x v="1"/>
    <x v="0"/>
    <x v="2"/>
  </r>
  <r>
    <n v="10728"/>
    <x v="4"/>
    <s v="andy@gmail.com"/>
    <x v="4"/>
    <n v="150"/>
    <n v="200"/>
    <n v="736"/>
    <n v="110400"/>
    <n v="147200"/>
    <n v="36800"/>
    <x v="2"/>
    <x v="1"/>
    <x v="3"/>
    <x v="1"/>
    <x v="1"/>
    <x v="3"/>
  </r>
  <r>
    <n v="10729"/>
    <x v="0"/>
    <s v="jard@gmail.com"/>
    <x v="5"/>
    <n v="80"/>
    <n v="150"/>
    <n v="710"/>
    <n v="56800"/>
    <n v="106500"/>
    <n v="49700"/>
    <x v="3"/>
    <x v="2"/>
    <x v="4"/>
    <x v="2"/>
    <x v="1"/>
    <x v="4"/>
  </r>
  <r>
    <n v="10730"/>
    <x v="1"/>
    <s v="gillhell@uk.com"/>
    <x v="6"/>
    <n v="90"/>
    <n v="150"/>
    <n v="719"/>
    <n v="64710"/>
    <n v="107850"/>
    <n v="43140"/>
    <x v="4"/>
    <x v="3"/>
    <x v="5"/>
    <x v="0"/>
    <x v="1"/>
    <x v="5"/>
  </r>
  <r>
    <n v="10731"/>
    <x v="2"/>
    <s v="sorvi2000@gmail.com"/>
    <x v="0"/>
    <n v="150"/>
    <n v="200"/>
    <n v="738"/>
    <n v="110700"/>
    <n v="147600"/>
    <n v="36900"/>
    <x v="0"/>
    <x v="4"/>
    <x v="6"/>
    <x v="2"/>
    <x v="0"/>
    <x v="6"/>
  </r>
  <r>
    <n v="10732"/>
    <x v="3"/>
    <s v="jone.ai@yahoo.com"/>
    <x v="1"/>
    <n v="250"/>
    <n v="500"/>
    <n v="884"/>
    <n v="221000"/>
    <n v="442000"/>
    <n v="221000"/>
    <x v="1"/>
    <x v="5"/>
    <x v="7"/>
    <x v="0"/>
    <x v="0"/>
    <x v="7"/>
  </r>
  <r>
    <n v="10733"/>
    <x v="4"/>
    <s v="andy@gmail.com"/>
    <x v="2"/>
    <n v="180"/>
    <n v="450"/>
    <n v="772"/>
    <n v="138960"/>
    <n v="347400"/>
    <n v="208440"/>
    <x v="2"/>
    <x v="0"/>
    <x v="8"/>
    <x v="2"/>
    <x v="1"/>
    <x v="8"/>
  </r>
  <r>
    <n v="10734"/>
    <x v="0"/>
    <s v="jard@gmail.com"/>
    <x v="3"/>
    <n v="170"/>
    <n v="250"/>
    <n v="762"/>
    <n v="129540"/>
    <n v="190500"/>
    <n v="60960"/>
    <x v="3"/>
    <x v="1"/>
    <x v="9"/>
    <x v="2"/>
    <x v="1"/>
    <x v="9"/>
  </r>
  <r>
    <n v="10735"/>
    <x v="5"/>
    <s v="thomp@uk.com"/>
    <x v="4"/>
    <n v="150"/>
    <n v="200"/>
    <n v="830"/>
    <n v="124500"/>
    <n v="166000"/>
    <n v="41500"/>
    <x v="4"/>
    <x v="2"/>
    <x v="10"/>
    <x v="1"/>
    <x v="1"/>
    <x v="10"/>
  </r>
  <r>
    <n v="10736"/>
    <x v="3"/>
    <s v="jone.ai@yahoo.com"/>
    <x v="5"/>
    <n v="80"/>
    <n v="150"/>
    <n v="995"/>
    <n v="79600"/>
    <n v="149250"/>
    <n v="69650"/>
    <x v="0"/>
    <x v="3"/>
    <x v="11"/>
    <x v="1"/>
    <x v="0"/>
    <x v="11"/>
  </r>
  <r>
    <n v="10737"/>
    <x v="6"/>
    <s v="morganny@gmail.com"/>
    <x v="6"/>
    <n v="90"/>
    <n v="150"/>
    <n v="812"/>
    <n v="73080"/>
    <n v="121800"/>
    <n v="48720"/>
    <x v="1"/>
    <x v="4"/>
    <x v="0"/>
    <x v="0"/>
    <x v="0"/>
    <x v="0"/>
  </r>
  <r>
    <n v="10738"/>
    <x v="7"/>
    <s v="howard_freeman@yahoo.com"/>
    <x v="0"/>
    <n v="150"/>
    <n v="200"/>
    <n v="993"/>
    <n v="148950"/>
    <n v="198600"/>
    <n v="49650"/>
    <x v="2"/>
    <x v="5"/>
    <x v="1"/>
    <x v="1"/>
    <x v="1"/>
    <x v="1"/>
  </r>
  <r>
    <n v="10739"/>
    <x v="8"/>
    <s v="parentty@uk.com"/>
    <x v="1"/>
    <n v="250"/>
    <n v="500"/>
    <n v="941"/>
    <n v="235250"/>
    <n v="470500"/>
    <n v="235250"/>
    <x v="3"/>
    <x v="0"/>
    <x v="2"/>
    <x v="2"/>
    <x v="1"/>
    <x v="2"/>
  </r>
  <r>
    <n v="10740"/>
    <x v="3"/>
    <s v="jone.ai@yahoo.com"/>
    <x v="2"/>
    <n v="180"/>
    <n v="450"/>
    <n v="703"/>
    <n v="126540"/>
    <n v="316350"/>
    <n v="189810"/>
    <x v="4"/>
    <x v="1"/>
    <x v="3"/>
    <x v="0"/>
    <x v="1"/>
    <x v="3"/>
  </r>
  <r>
    <n v="10741"/>
    <x v="9"/>
    <s v="smithMan@yahoo.com"/>
    <x v="3"/>
    <n v="170"/>
    <n v="250"/>
    <n v="834"/>
    <n v="141780"/>
    <n v="208500"/>
    <n v="66720"/>
    <x v="0"/>
    <x v="2"/>
    <x v="4"/>
    <x v="0"/>
    <x v="0"/>
    <x v="4"/>
  </r>
  <r>
    <n v="10742"/>
    <x v="3"/>
    <s v="jone.ai@yahoo.com"/>
    <x v="4"/>
    <n v="150"/>
    <n v="200"/>
    <n v="843"/>
    <n v="126450"/>
    <n v="168600"/>
    <n v="42150"/>
    <x v="1"/>
    <x v="3"/>
    <x v="5"/>
    <x v="0"/>
    <x v="0"/>
    <x v="5"/>
  </r>
  <r>
    <n v="10743"/>
    <x v="0"/>
    <s v="jard@gmail.com"/>
    <x v="5"/>
    <n v="80"/>
    <n v="150"/>
    <n v="749"/>
    <n v="59920"/>
    <n v="112350"/>
    <n v="52430"/>
    <x v="2"/>
    <x v="4"/>
    <x v="6"/>
    <x v="0"/>
    <x v="1"/>
    <x v="6"/>
  </r>
  <r>
    <n v="10744"/>
    <x v="1"/>
    <s v="gillhell@uk.com"/>
    <x v="6"/>
    <n v="90"/>
    <n v="150"/>
    <n v="859"/>
    <n v="77310"/>
    <n v="128850"/>
    <n v="51540"/>
    <x v="3"/>
    <x v="5"/>
    <x v="7"/>
    <x v="2"/>
    <x v="1"/>
    <x v="7"/>
  </r>
  <r>
    <n v="10745"/>
    <x v="2"/>
    <s v="sorvi2000@gmail.com"/>
    <x v="0"/>
    <n v="150"/>
    <n v="200"/>
    <n v="962"/>
    <n v="144300"/>
    <n v="192400"/>
    <n v="48100"/>
    <x v="4"/>
    <x v="0"/>
    <x v="8"/>
    <x v="2"/>
    <x v="1"/>
    <x v="8"/>
  </r>
  <r>
    <n v="10746"/>
    <x v="3"/>
    <s v="jone.ai@yahoo.com"/>
    <x v="1"/>
    <n v="250"/>
    <n v="500"/>
    <n v="816"/>
    <n v="204000"/>
    <n v="408000"/>
    <n v="204000"/>
    <x v="0"/>
    <x v="1"/>
    <x v="9"/>
    <x v="0"/>
    <x v="0"/>
    <x v="9"/>
  </r>
  <r>
    <n v="10747"/>
    <x v="4"/>
    <s v="andy@gmail.com"/>
    <x v="2"/>
    <n v="180"/>
    <n v="450"/>
    <n v="989"/>
    <n v="178020"/>
    <n v="445050"/>
    <n v="267030"/>
    <x v="1"/>
    <x v="2"/>
    <x v="10"/>
    <x v="2"/>
    <x v="0"/>
    <x v="10"/>
  </r>
  <r>
    <n v="10748"/>
    <x v="0"/>
    <s v="jard@gmail.com"/>
    <x v="3"/>
    <n v="170"/>
    <n v="250"/>
    <n v="702"/>
    <n v="119340"/>
    <n v="175500"/>
    <n v="56160"/>
    <x v="2"/>
    <x v="3"/>
    <x v="11"/>
    <x v="1"/>
    <x v="1"/>
    <x v="11"/>
  </r>
  <r>
    <n v="10749"/>
    <x v="5"/>
    <s v="thomp@uk.com"/>
    <x v="4"/>
    <n v="150"/>
    <n v="200"/>
    <n v="830"/>
    <n v="124500"/>
    <n v="166000"/>
    <n v="41500"/>
    <x v="3"/>
    <x v="4"/>
    <x v="0"/>
    <x v="1"/>
    <x v="1"/>
    <x v="0"/>
  </r>
  <r>
    <n v="10750"/>
    <x v="3"/>
    <s v="jone.ai@yahoo.com"/>
    <x v="5"/>
    <n v="80"/>
    <n v="150"/>
    <n v="710"/>
    <n v="56800"/>
    <n v="106500"/>
    <n v="49700"/>
    <x v="4"/>
    <x v="5"/>
    <x v="1"/>
    <x v="1"/>
    <x v="1"/>
    <x v="1"/>
  </r>
  <r>
    <n v="10751"/>
    <x v="6"/>
    <s v="morganny@gmail.com"/>
    <x v="6"/>
    <n v="90"/>
    <n v="150"/>
    <n v="708"/>
    <n v="63720"/>
    <n v="106200"/>
    <n v="42480"/>
    <x v="0"/>
    <x v="0"/>
    <x v="2"/>
    <x v="1"/>
    <x v="0"/>
    <x v="2"/>
  </r>
  <r>
    <n v="10752"/>
    <x v="7"/>
    <s v="howard_freeman@yahoo.com"/>
    <x v="0"/>
    <n v="150"/>
    <n v="200"/>
    <n v="816"/>
    <n v="122400"/>
    <n v="163200"/>
    <n v="40800"/>
    <x v="1"/>
    <x v="1"/>
    <x v="3"/>
    <x v="0"/>
    <x v="0"/>
    <x v="3"/>
  </r>
  <r>
    <n v="10753"/>
    <x v="8"/>
    <s v="parentty@uk.com"/>
    <x v="1"/>
    <n v="250"/>
    <n v="500"/>
    <n v="722"/>
    <n v="180500"/>
    <n v="361000"/>
    <n v="180500"/>
    <x v="2"/>
    <x v="2"/>
    <x v="4"/>
    <x v="2"/>
    <x v="1"/>
    <x v="4"/>
  </r>
  <r>
    <n v="10754"/>
    <x v="3"/>
    <s v="jone.ai@yahoo.com"/>
    <x v="2"/>
    <n v="180"/>
    <n v="450"/>
    <n v="778"/>
    <n v="140040"/>
    <n v="350100"/>
    <n v="210060"/>
    <x v="3"/>
    <x v="3"/>
    <x v="5"/>
    <x v="2"/>
    <x v="1"/>
    <x v="5"/>
  </r>
  <r>
    <n v="10755"/>
    <x v="9"/>
    <s v="smithMan@yahoo.com"/>
    <x v="3"/>
    <n v="170"/>
    <n v="250"/>
    <n v="732"/>
    <n v="124440"/>
    <n v="183000"/>
    <n v="58560"/>
    <x v="4"/>
    <x v="4"/>
    <x v="6"/>
    <x v="0"/>
    <x v="1"/>
    <x v="6"/>
  </r>
  <r>
    <n v="10756"/>
    <x v="3"/>
    <s v="jone.ai@yahoo.com"/>
    <x v="4"/>
    <n v="150"/>
    <n v="200"/>
    <n v="881"/>
    <n v="132150"/>
    <n v="176200"/>
    <n v="44050"/>
    <x v="0"/>
    <x v="5"/>
    <x v="7"/>
    <x v="1"/>
    <x v="0"/>
    <x v="7"/>
  </r>
  <r>
    <n v="10757"/>
    <x v="6"/>
    <s v="morganny@gmail.com"/>
    <x v="5"/>
    <n v="80"/>
    <n v="150"/>
    <n v="939"/>
    <n v="75120"/>
    <n v="140850"/>
    <n v="65730"/>
    <x v="1"/>
    <x v="0"/>
    <x v="8"/>
    <x v="2"/>
    <x v="0"/>
    <x v="8"/>
  </r>
  <r>
    <n v="10758"/>
    <x v="3"/>
    <s v="jone.ai@yahoo.com"/>
    <x v="6"/>
    <n v="90"/>
    <n v="150"/>
    <n v="907"/>
    <n v="81630"/>
    <n v="136050"/>
    <n v="54420"/>
    <x v="2"/>
    <x v="1"/>
    <x v="9"/>
    <x v="0"/>
    <x v="1"/>
    <x v="9"/>
  </r>
  <r>
    <n v="10759"/>
    <x v="8"/>
    <s v="parentty@uk.com"/>
    <x v="0"/>
    <n v="150"/>
    <n v="200"/>
    <n v="709"/>
    <n v="106350"/>
    <n v="141800"/>
    <n v="35450"/>
    <x v="3"/>
    <x v="2"/>
    <x v="10"/>
    <x v="0"/>
    <x v="1"/>
    <x v="10"/>
  </r>
  <r>
    <n v="10760"/>
    <x v="10"/>
    <s v="kivel_go@yahoo.com"/>
    <x v="1"/>
    <n v="250"/>
    <n v="500"/>
    <n v="886"/>
    <n v="221500"/>
    <n v="443000"/>
    <n v="221500"/>
    <x v="4"/>
    <x v="3"/>
    <x v="11"/>
    <x v="2"/>
    <x v="1"/>
    <x v="11"/>
  </r>
  <r>
    <n v="10761"/>
    <x v="9"/>
    <s v="smithMan@yahoo.com"/>
    <x v="2"/>
    <n v="180"/>
    <n v="450"/>
    <n v="828"/>
    <n v="149040"/>
    <n v="372600"/>
    <n v="223560"/>
    <x v="0"/>
    <x v="4"/>
    <x v="0"/>
    <x v="2"/>
    <x v="0"/>
    <x v="0"/>
  </r>
  <r>
    <n v="10762"/>
    <x v="8"/>
    <s v="parentty@uk.com"/>
    <x v="3"/>
    <n v="170"/>
    <n v="250"/>
    <n v="700"/>
    <n v="119000"/>
    <n v="175000"/>
    <n v="56000"/>
    <x v="1"/>
    <x v="5"/>
    <x v="1"/>
    <x v="0"/>
    <x v="0"/>
    <x v="1"/>
  </r>
  <r>
    <n v="10763"/>
    <x v="1"/>
    <s v="gillhell@uk.com"/>
    <x v="4"/>
    <n v="150"/>
    <n v="200"/>
    <n v="928"/>
    <n v="139200"/>
    <n v="185600"/>
    <n v="46400"/>
    <x v="2"/>
    <x v="0"/>
    <x v="2"/>
    <x v="1"/>
    <x v="1"/>
    <x v="2"/>
  </r>
  <r>
    <n v="10764"/>
    <x v="9"/>
    <s v="smithMan@yahoo.com"/>
    <x v="5"/>
    <n v="80"/>
    <n v="150"/>
    <n v="737"/>
    <n v="58960"/>
    <n v="110550"/>
    <n v="51590"/>
    <x v="3"/>
    <x v="1"/>
    <x v="3"/>
    <x v="1"/>
    <x v="1"/>
    <x v="3"/>
  </r>
  <r>
    <n v="10765"/>
    <x v="3"/>
    <s v="jone.ai@yahoo.com"/>
    <x v="6"/>
    <n v="90"/>
    <n v="150"/>
    <n v="986"/>
    <n v="88740"/>
    <n v="147900"/>
    <n v="59160"/>
    <x v="4"/>
    <x v="2"/>
    <x v="4"/>
    <x v="0"/>
    <x v="1"/>
    <x v="4"/>
  </r>
  <r>
    <n v="10766"/>
    <x v="2"/>
    <s v="sorvi2000@gmail.com"/>
    <x v="0"/>
    <n v="150"/>
    <n v="200"/>
    <n v="733"/>
    <n v="109950"/>
    <n v="146600"/>
    <n v="36650"/>
    <x v="0"/>
    <x v="3"/>
    <x v="5"/>
    <x v="1"/>
    <x v="0"/>
    <x v="5"/>
  </r>
  <r>
    <n v="10767"/>
    <x v="0"/>
    <s v="jard@gmail.com"/>
    <x v="1"/>
    <n v="250"/>
    <n v="500"/>
    <n v="769"/>
    <n v="192250"/>
    <n v="384500"/>
    <n v="192250"/>
    <x v="1"/>
    <x v="4"/>
    <x v="6"/>
    <x v="2"/>
    <x v="0"/>
    <x v="6"/>
  </r>
  <r>
    <n v="10768"/>
    <x v="4"/>
    <s v="andy@gmail.com"/>
    <x v="2"/>
    <n v="180"/>
    <n v="450"/>
    <n v="782"/>
    <n v="140760"/>
    <n v="351900"/>
    <n v="211140"/>
    <x v="2"/>
    <x v="5"/>
    <x v="7"/>
    <x v="2"/>
    <x v="1"/>
    <x v="7"/>
  </r>
  <r>
    <n v="10769"/>
    <x v="7"/>
    <s v="howard_freeman@yahoo.com"/>
    <x v="3"/>
    <n v="170"/>
    <n v="250"/>
    <n v="755"/>
    <n v="128350"/>
    <n v="188750"/>
    <n v="60400"/>
    <x v="3"/>
    <x v="0"/>
    <x v="8"/>
    <x v="2"/>
    <x v="1"/>
    <x v="8"/>
  </r>
  <r>
    <n v="10770"/>
    <x v="1"/>
    <s v="gillhell@uk.com"/>
    <x v="4"/>
    <n v="150"/>
    <n v="200"/>
    <n v="980"/>
    <n v="147000"/>
    <n v="196000"/>
    <n v="49000"/>
    <x v="4"/>
    <x v="1"/>
    <x v="9"/>
    <x v="0"/>
    <x v="1"/>
    <x v="9"/>
  </r>
  <r>
    <n v="10771"/>
    <x v="1"/>
    <s v="gillhell@uk.com"/>
    <x v="5"/>
    <n v="80"/>
    <n v="150"/>
    <n v="755"/>
    <n v="60400"/>
    <n v="113250"/>
    <n v="52850"/>
    <x v="0"/>
    <x v="2"/>
    <x v="10"/>
    <x v="0"/>
    <x v="0"/>
    <x v="10"/>
  </r>
  <r>
    <n v="10772"/>
    <x v="10"/>
    <s v="kivel_go@yahoo.com"/>
    <x v="6"/>
    <n v="90"/>
    <n v="150"/>
    <n v="804"/>
    <n v="72360"/>
    <n v="120600"/>
    <n v="48240"/>
    <x v="1"/>
    <x v="3"/>
    <x v="11"/>
    <x v="0"/>
    <x v="0"/>
    <x v="11"/>
  </r>
  <r>
    <n v="10773"/>
    <x v="3"/>
    <s v="jone.ai@yahoo.com"/>
    <x v="0"/>
    <n v="150"/>
    <n v="200"/>
    <n v="821"/>
    <n v="123150"/>
    <n v="164200"/>
    <n v="41050"/>
    <x v="2"/>
    <x v="4"/>
    <x v="0"/>
    <x v="2"/>
    <x v="1"/>
    <x v="0"/>
  </r>
  <r>
    <n v="10774"/>
    <x v="6"/>
    <s v="morganny@gmail.com"/>
    <x v="1"/>
    <n v="250"/>
    <n v="500"/>
    <n v="768"/>
    <n v="192000"/>
    <n v="384000"/>
    <n v="192000"/>
    <x v="3"/>
    <x v="5"/>
    <x v="1"/>
    <x v="2"/>
    <x v="1"/>
    <x v="1"/>
  </r>
  <r>
    <n v="10775"/>
    <x v="10"/>
    <s v="kivel_go@yahoo.com"/>
    <x v="2"/>
    <n v="180"/>
    <n v="450"/>
    <n v="929"/>
    <n v="167220"/>
    <n v="418050"/>
    <n v="250830"/>
    <x v="4"/>
    <x v="0"/>
    <x v="2"/>
    <x v="0"/>
    <x v="1"/>
    <x v="2"/>
  </r>
  <r>
    <n v="10776"/>
    <x v="2"/>
    <s v="sorvi2000@gmail.com"/>
    <x v="3"/>
    <n v="170"/>
    <n v="250"/>
    <n v="938"/>
    <n v="159460"/>
    <n v="234500"/>
    <n v="75040"/>
    <x v="0"/>
    <x v="1"/>
    <x v="3"/>
    <x v="1"/>
    <x v="0"/>
    <x v="3"/>
  </r>
  <r>
    <n v="10777"/>
    <x v="1"/>
    <s v="gillhell@uk.com"/>
    <x v="4"/>
    <n v="150"/>
    <n v="200"/>
    <n v="776"/>
    <n v="116400"/>
    <n v="155200"/>
    <n v="38800"/>
    <x v="1"/>
    <x v="2"/>
    <x v="4"/>
    <x v="1"/>
    <x v="0"/>
    <x v="4"/>
  </r>
  <r>
    <n v="10778"/>
    <x v="2"/>
    <s v="sorvi2000@gmail.com"/>
    <x v="5"/>
    <n v="80"/>
    <n v="150"/>
    <n v="830"/>
    <n v="66400"/>
    <n v="124500"/>
    <n v="58100"/>
    <x v="2"/>
    <x v="3"/>
    <x v="5"/>
    <x v="1"/>
    <x v="1"/>
    <x v="5"/>
  </r>
  <r>
    <n v="10779"/>
    <x v="5"/>
    <s v="thomp@uk.com"/>
    <x v="6"/>
    <n v="90"/>
    <n v="150"/>
    <n v="881"/>
    <n v="79290"/>
    <n v="132150"/>
    <n v="52860"/>
    <x v="3"/>
    <x v="4"/>
    <x v="6"/>
    <x v="2"/>
    <x v="1"/>
    <x v="6"/>
  </r>
  <r>
    <n v="10780"/>
    <x v="4"/>
    <s v="andy@gmail.com"/>
    <x v="0"/>
    <n v="150"/>
    <n v="200"/>
    <n v="854"/>
    <n v="128100"/>
    <n v="170800"/>
    <n v="42700"/>
    <x v="4"/>
    <x v="5"/>
    <x v="7"/>
    <x v="0"/>
    <x v="1"/>
    <x v="7"/>
  </r>
  <r>
    <n v="10781"/>
    <x v="0"/>
    <s v="jard@gmail.com"/>
    <x v="1"/>
    <n v="250"/>
    <n v="500"/>
    <n v="843"/>
    <n v="210750"/>
    <n v="421500"/>
    <n v="210750"/>
    <x v="0"/>
    <x v="0"/>
    <x v="8"/>
    <x v="2"/>
    <x v="0"/>
    <x v="8"/>
  </r>
  <r>
    <n v="10782"/>
    <x v="0"/>
    <s v="jard@gmail.com"/>
    <x v="2"/>
    <n v="180"/>
    <n v="450"/>
    <n v="927"/>
    <n v="166860"/>
    <n v="417150"/>
    <n v="250290"/>
    <x v="1"/>
    <x v="1"/>
    <x v="9"/>
    <x v="0"/>
    <x v="0"/>
    <x v="9"/>
  </r>
  <r>
    <n v="10783"/>
    <x v="4"/>
    <s v="andy@gmail.com"/>
    <x v="3"/>
    <n v="170"/>
    <n v="250"/>
    <n v="988"/>
    <n v="167960"/>
    <n v="247000"/>
    <n v="79040"/>
    <x v="2"/>
    <x v="2"/>
    <x v="10"/>
    <x v="0"/>
    <x v="1"/>
    <x v="10"/>
  </r>
  <r>
    <n v="10784"/>
    <x v="0"/>
    <s v="jard@gmail.com"/>
    <x v="4"/>
    <n v="150"/>
    <n v="200"/>
    <n v="864"/>
    <n v="129600"/>
    <n v="172800"/>
    <n v="43200"/>
    <x v="3"/>
    <x v="3"/>
    <x v="11"/>
    <x v="1"/>
    <x v="1"/>
    <x v="11"/>
  </r>
  <r>
    <n v="10785"/>
    <x v="1"/>
    <s v="gillhell@uk.com"/>
    <x v="5"/>
    <n v="80"/>
    <n v="150"/>
    <n v="952"/>
    <n v="76160"/>
    <n v="142800"/>
    <n v="66640"/>
    <x v="4"/>
    <x v="4"/>
    <x v="0"/>
    <x v="2"/>
    <x v="1"/>
    <x v="0"/>
  </r>
  <r>
    <n v="10786"/>
    <x v="2"/>
    <s v="sorvi2000@gmail.com"/>
    <x v="6"/>
    <n v="90"/>
    <n v="150"/>
    <n v="817"/>
    <n v="73530"/>
    <n v="122550"/>
    <n v="49020"/>
    <x v="0"/>
    <x v="5"/>
    <x v="1"/>
    <x v="1"/>
    <x v="0"/>
    <x v="1"/>
  </r>
  <r>
    <n v="10787"/>
    <x v="3"/>
    <s v="jone.ai@yahoo.com"/>
    <x v="0"/>
    <n v="150"/>
    <n v="200"/>
    <n v="980"/>
    <n v="147000"/>
    <n v="196000"/>
    <n v="49000"/>
    <x v="1"/>
    <x v="0"/>
    <x v="2"/>
    <x v="1"/>
    <x v="0"/>
    <x v="2"/>
  </r>
  <r>
    <n v="10788"/>
    <x v="4"/>
    <s v="andy@gmail.com"/>
    <x v="1"/>
    <n v="250"/>
    <n v="500"/>
    <n v="826"/>
    <n v="206500"/>
    <n v="413000"/>
    <n v="206500"/>
    <x v="2"/>
    <x v="1"/>
    <x v="3"/>
    <x v="0"/>
    <x v="1"/>
    <x v="3"/>
  </r>
  <r>
    <n v="10789"/>
    <x v="0"/>
    <s v="jard@gmail.com"/>
    <x v="2"/>
    <n v="180"/>
    <n v="450"/>
    <n v="864"/>
    <n v="155520"/>
    <n v="388800"/>
    <n v="233280"/>
    <x v="3"/>
    <x v="2"/>
    <x v="4"/>
    <x v="2"/>
    <x v="1"/>
    <x v="4"/>
  </r>
  <r>
    <n v="10790"/>
    <x v="5"/>
    <s v="thomp@uk.com"/>
    <x v="3"/>
    <n v="170"/>
    <n v="250"/>
    <n v="737"/>
    <n v="125290"/>
    <n v="184250"/>
    <n v="58960"/>
    <x v="4"/>
    <x v="3"/>
    <x v="5"/>
    <x v="1"/>
    <x v="1"/>
    <x v="5"/>
  </r>
  <r>
    <n v="10791"/>
    <x v="3"/>
    <s v="jone.ai@yahoo.com"/>
    <x v="4"/>
    <n v="150"/>
    <n v="200"/>
    <n v="773"/>
    <n v="115950"/>
    <n v="154600"/>
    <n v="38650"/>
    <x v="0"/>
    <x v="4"/>
    <x v="6"/>
    <x v="1"/>
    <x v="0"/>
    <x v="6"/>
  </r>
  <r>
    <n v="10792"/>
    <x v="6"/>
    <s v="morganny@gmail.com"/>
    <x v="5"/>
    <n v="80"/>
    <n v="150"/>
    <n v="902"/>
    <n v="72160"/>
    <n v="135300"/>
    <n v="63140"/>
    <x v="1"/>
    <x v="5"/>
    <x v="7"/>
    <x v="0"/>
    <x v="0"/>
    <x v="7"/>
  </r>
  <r>
    <n v="10793"/>
    <x v="7"/>
    <s v="howard_freeman@yahoo.com"/>
    <x v="6"/>
    <n v="90"/>
    <n v="150"/>
    <n v="888"/>
    <n v="79920"/>
    <n v="133200"/>
    <n v="53280"/>
    <x v="2"/>
    <x v="0"/>
    <x v="8"/>
    <x v="0"/>
    <x v="1"/>
    <x v="8"/>
  </r>
  <r>
    <n v="10794"/>
    <x v="8"/>
    <s v="parentty@uk.com"/>
    <x v="0"/>
    <n v="150"/>
    <n v="200"/>
    <n v="893"/>
    <n v="133950"/>
    <n v="178600"/>
    <n v="44650"/>
    <x v="3"/>
    <x v="1"/>
    <x v="9"/>
    <x v="0"/>
    <x v="1"/>
    <x v="9"/>
  </r>
  <r>
    <n v="10795"/>
    <x v="3"/>
    <s v="jone.ai@yahoo.com"/>
    <x v="1"/>
    <n v="250"/>
    <n v="500"/>
    <n v="718"/>
    <n v="179500"/>
    <n v="359000"/>
    <n v="179500"/>
    <x v="4"/>
    <x v="2"/>
    <x v="10"/>
    <x v="2"/>
    <x v="1"/>
    <x v="10"/>
  </r>
  <r>
    <n v="10796"/>
    <x v="9"/>
    <s v="smithMan@yahoo.com"/>
    <x v="2"/>
    <n v="180"/>
    <n v="450"/>
    <n v="744"/>
    <n v="133920"/>
    <n v="334800"/>
    <n v="200880"/>
    <x v="0"/>
    <x v="3"/>
    <x v="11"/>
    <x v="2"/>
    <x v="0"/>
    <x v="11"/>
  </r>
  <r>
    <n v="10797"/>
    <x v="3"/>
    <s v="jone.ai@yahoo.com"/>
    <x v="3"/>
    <n v="170"/>
    <n v="250"/>
    <n v="959"/>
    <n v="163030"/>
    <n v="239750"/>
    <n v="76720"/>
    <x v="1"/>
    <x v="4"/>
    <x v="0"/>
    <x v="2"/>
    <x v="0"/>
    <x v="0"/>
  </r>
  <r>
    <n v="10798"/>
    <x v="6"/>
    <s v="morganny@gmail.com"/>
    <x v="4"/>
    <n v="150"/>
    <n v="200"/>
    <n v="976"/>
    <n v="146400"/>
    <n v="195200"/>
    <n v="48800"/>
    <x v="2"/>
    <x v="5"/>
    <x v="1"/>
    <x v="2"/>
    <x v="1"/>
    <x v="1"/>
  </r>
  <r>
    <n v="10799"/>
    <x v="3"/>
    <s v="jone.ai@yahoo.com"/>
    <x v="5"/>
    <n v="80"/>
    <n v="150"/>
    <n v="940"/>
    <n v="75200"/>
    <n v="141000"/>
    <n v="65800"/>
    <x v="3"/>
    <x v="0"/>
    <x v="2"/>
    <x v="1"/>
    <x v="1"/>
    <x v="2"/>
  </r>
  <r>
    <n v="10800"/>
    <x v="8"/>
    <s v="parentty@uk.com"/>
    <x v="6"/>
    <n v="90"/>
    <n v="150"/>
    <n v="956"/>
    <n v="86040"/>
    <n v="143400"/>
    <n v="57360"/>
    <x v="4"/>
    <x v="1"/>
    <x v="3"/>
    <x v="0"/>
    <x v="1"/>
    <x v="3"/>
  </r>
  <r>
    <n v="10801"/>
    <x v="10"/>
    <s v="kivel_go@yahoo.com"/>
    <x v="0"/>
    <n v="150"/>
    <n v="200"/>
    <n v="908"/>
    <n v="136200"/>
    <n v="181600"/>
    <n v="45400"/>
    <x v="0"/>
    <x v="2"/>
    <x v="4"/>
    <x v="1"/>
    <x v="0"/>
    <x v="4"/>
  </r>
  <r>
    <n v="10802"/>
    <x v="9"/>
    <s v="smithMan@yahoo.com"/>
    <x v="1"/>
    <n v="250"/>
    <n v="500"/>
    <n v="866"/>
    <n v="216500"/>
    <n v="433000"/>
    <n v="216500"/>
    <x v="1"/>
    <x v="3"/>
    <x v="5"/>
    <x v="1"/>
    <x v="0"/>
    <x v="5"/>
  </r>
  <r>
    <n v="10803"/>
    <x v="8"/>
    <s v="parentty@uk.com"/>
    <x v="2"/>
    <n v="180"/>
    <n v="450"/>
    <n v="735"/>
    <n v="132300"/>
    <n v="330750"/>
    <n v="198450"/>
    <x v="2"/>
    <x v="4"/>
    <x v="6"/>
    <x v="0"/>
    <x v="1"/>
    <x v="6"/>
  </r>
  <r>
    <n v="10804"/>
    <x v="1"/>
    <s v="gillhell@uk.com"/>
    <x v="3"/>
    <n v="170"/>
    <n v="250"/>
    <n v="802"/>
    <n v="136340"/>
    <n v="200500"/>
    <n v="64160"/>
    <x v="3"/>
    <x v="5"/>
    <x v="7"/>
    <x v="2"/>
    <x v="1"/>
    <x v="7"/>
  </r>
  <r>
    <n v="10805"/>
    <x v="9"/>
    <s v="smithMan@yahoo.com"/>
    <x v="4"/>
    <n v="150"/>
    <n v="200"/>
    <n v="976"/>
    <n v="146400"/>
    <n v="195200"/>
    <n v="48800"/>
    <x v="4"/>
    <x v="0"/>
    <x v="8"/>
    <x v="1"/>
    <x v="1"/>
    <x v="8"/>
  </r>
  <r>
    <n v="10806"/>
    <x v="3"/>
    <s v="jone.ai@yahoo.com"/>
    <x v="5"/>
    <n v="80"/>
    <n v="150"/>
    <n v="914"/>
    <n v="73120"/>
    <n v="137100"/>
    <n v="63980"/>
    <x v="0"/>
    <x v="1"/>
    <x v="9"/>
    <x v="2"/>
    <x v="0"/>
    <x v="9"/>
  </r>
  <r>
    <n v="10807"/>
    <x v="2"/>
    <s v="sorvi2000@gmail.com"/>
    <x v="6"/>
    <n v="90"/>
    <n v="150"/>
    <n v="821"/>
    <n v="73890"/>
    <n v="123150"/>
    <n v="49260"/>
    <x v="1"/>
    <x v="2"/>
    <x v="10"/>
    <x v="2"/>
    <x v="0"/>
    <x v="10"/>
  </r>
  <r>
    <n v="10808"/>
    <x v="0"/>
    <s v="jard@gmail.com"/>
    <x v="0"/>
    <n v="150"/>
    <n v="200"/>
    <n v="804"/>
    <n v="120600"/>
    <n v="160800"/>
    <n v="40200"/>
    <x v="2"/>
    <x v="3"/>
    <x v="11"/>
    <x v="2"/>
    <x v="1"/>
    <x v="11"/>
  </r>
  <r>
    <n v="10809"/>
    <x v="4"/>
    <s v="andy@gmail.com"/>
    <x v="1"/>
    <n v="250"/>
    <n v="500"/>
    <n v="946"/>
    <n v="236500"/>
    <n v="473000"/>
    <n v="236500"/>
    <x v="3"/>
    <x v="4"/>
    <x v="0"/>
    <x v="2"/>
    <x v="1"/>
    <x v="0"/>
  </r>
  <r>
    <n v="10810"/>
    <x v="7"/>
    <s v="howard_freeman@yahoo.com"/>
    <x v="2"/>
    <n v="180"/>
    <n v="450"/>
    <n v="997"/>
    <n v="179460"/>
    <n v="448650"/>
    <n v="269190"/>
    <x v="4"/>
    <x v="5"/>
    <x v="1"/>
    <x v="0"/>
    <x v="1"/>
    <x v="1"/>
  </r>
  <r>
    <n v="10811"/>
    <x v="1"/>
    <s v="gillhell@uk.com"/>
    <x v="3"/>
    <n v="170"/>
    <n v="250"/>
    <n v="770"/>
    <n v="130900"/>
    <n v="192500"/>
    <n v="61600"/>
    <x v="0"/>
    <x v="0"/>
    <x v="2"/>
    <x v="0"/>
    <x v="0"/>
    <x v="2"/>
  </r>
  <r>
    <n v="10812"/>
    <x v="1"/>
    <s v="gillhell@uk.com"/>
    <x v="4"/>
    <n v="150"/>
    <n v="200"/>
    <n v="901"/>
    <n v="135150"/>
    <n v="180200"/>
    <n v="45050"/>
    <x v="1"/>
    <x v="1"/>
    <x v="3"/>
    <x v="2"/>
    <x v="0"/>
    <x v="3"/>
  </r>
  <r>
    <n v="10813"/>
    <x v="10"/>
    <s v="kivel_go@yahoo.com"/>
    <x v="5"/>
    <n v="80"/>
    <n v="150"/>
    <n v="719"/>
    <n v="57520"/>
    <n v="107850"/>
    <n v="50330"/>
    <x v="2"/>
    <x v="2"/>
    <x v="4"/>
    <x v="0"/>
    <x v="1"/>
    <x v="4"/>
  </r>
  <r>
    <n v="10814"/>
    <x v="3"/>
    <s v="jone.ai@yahoo.com"/>
    <x v="6"/>
    <n v="90"/>
    <n v="150"/>
    <n v="933"/>
    <n v="83970"/>
    <n v="139950"/>
    <n v="55980"/>
    <x v="3"/>
    <x v="3"/>
    <x v="5"/>
    <x v="1"/>
    <x v="1"/>
    <x v="5"/>
  </r>
  <r>
    <n v="10815"/>
    <x v="6"/>
    <s v="morganny@gmail.com"/>
    <x v="0"/>
    <n v="150"/>
    <n v="200"/>
    <n v="992"/>
    <n v="148800"/>
    <n v="198400"/>
    <n v="49600"/>
    <x v="4"/>
    <x v="4"/>
    <x v="6"/>
    <x v="2"/>
    <x v="1"/>
    <x v="6"/>
  </r>
  <r>
    <n v="10816"/>
    <x v="10"/>
    <s v="kivel_go@yahoo.com"/>
    <x v="1"/>
    <n v="250"/>
    <n v="500"/>
    <n v="818"/>
    <n v="204500"/>
    <n v="409000"/>
    <n v="204500"/>
    <x v="0"/>
    <x v="5"/>
    <x v="7"/>
    <x v="1"/>
    <x v="0"/>
    <x v="7"/>
  </r>
  <r>
    <n v="10817"/>
    <x v="2"/>
    <s v="sorvi2000@gmail.com"/>
    <x v="2"/>
    <n v="180"/>
    <n v="450"/>
    <n v="828"/>
    <n v="149040"/>
    <n v="372600"/>
    <n v="223560"/>
    <x v="1"/>
    <x v="0"/>
    <x v="8"/>
    <x v="2"/>
    <x v="0"/>
    <x v="8"/>
  </r>
  <r>
    <n v="10818"/>
    <x v="1"/>
    <s v="gillhell@uk.com"/>
    <x v="3"/>
    <n v="170"/>
    <n v="250"/>
    <n v="758"/>
    <n v="128860"/>
    <n v="189500"/>
    <n v="60640"/>
    <x v="2"/>
    <x v="1"/>
    <x v="9"/>
    <x v="2"/>
    <x v="1"/>
    <x v="9"/>
  </r>
  <r>
    <n v="10819"/>
    <x v="2"/>
    <s v="sorvi2000@gmail.com"/>
    <x v="4"/>
    <n v="150"/>
    <n v="200"/>
    <n v="787"/>
    <n v="118050"/>
    <n v="157400"/>
    <n v="39350"/>
    <x v="3"/>
    <x v="2"/>
    <x v="10"/>
    <x v="1"/>
    <x v="1"/>
    <x v="10"/>
  </r>
  <r>
    <n v="10820"/>
    <x v="5"/>
    <s v="thomp@uk.com"/>
    <x v="5"/>
    <n v="80"/>
    <n v="150"/>
    <n v="929"/>
    <n v="74320"/>
    <n v="139350"/>
    <n v="65030"/>
    <x v="4"/>
    <x v="3"/>
    <x v="11"/>
    <x v="0"/>
    <x v="1"/>
    <x v="11"/>
  </r>
  <r>
    <n v="10821"/>
    <x v="4"/>
    <s v="andy@gmail.com"/>
    <x v="6"/>
    <n v="90"/>
    <n v="150"/>
    <n v="785"/>
    <n v="70650"/>
    <n v="117750"/>
    <n v="47100"/>
    <x v="0"/>
    <x v="4"/>
    <x v="0"/>
    <x v="0"/>
    <x v="0"/>
    <x v="0"/>
  </r>
  <r>
    <n v="10822"/>
    <x v="0"/>
    <s v="jard@gmail.com"/>
    <x v="0"/>
    <n v="150"/>
    <n v="200"/>
    <n v="701"/>
    <n v="105150"/>
    <n v="140200"/>
    <n v="35050"/>
    <x v="1"/>
    <x v="5"/>
    <x v="1"/>
    <x v="2"/>
    <x v="0"/>
    <x v="1"/>
  </r>
  <r>
    <n v="10823"/>
    <x v="0"/>
    <s v="jard@gmail.com"/>
    <x v="1"/>
    <n v="250"/>
    <n v="500"/>
    <n v="757"/>
    <n v="189250"/>
    <n v="378500"/>
    <n v="189250"/>
    <x v="2"/>
    <x v="0"/>
    <x v="2"/>
    <x v="0"/>
    <x v="1"/>
    <x v="2"/>
  </r>
  <r>
    <n v="10824"/>
    <x v="4"/>
    <s v="andy@gmail.com"/>
    <x v="2"/>
    <n v="180"/>
    <n v="450"/>
    <n v="810"/>
    <n v="145800"/>
    <n v="364500"/>
    <n v="218700"/>
    <x v="3"/>
    <x v="1"/>
    <x v="3"/>
    <x v="0"/>
    <x v="1"/>
    <x v="3"/>
  </r>
  <r>
    <n v="10825"/>
    <x v="3"/>
    <s v="jone.ai@yahoo.com"/>
    <x v="3"/>
    <n v="170"/>
    <n v="250"/>
    <n v="874"/>
    <n v="148580"/>
    <n v="218500"/>
    <n v="69920"/>
    <x v="4"/>
    <x v="2"/>
    <x v="4"/>
    <x v="2"/>
    <x v="1"/>
    <x v="4"/>
  </r>
  <r>
    <n v="10826"/>
    <x v="6"/>
    <s v="morganny@gmail.com"/>
    <x v="4"/>
    <n v="150"/>
    <n v="200"/>
    <n v="820"/>
    <n v="123000"/>
    <n v="164000"/>
    <n v="41000"/>
    <x v="0"/>
    <x v="3"/>
    <x v="5"/>
    <x v="1"/>
    <x v="0"/>
    <x v="5"/>
  </r>
  <r>
    <n v="10827"/>
    <x v="10"/>
    <s v="kivel_go@yahoo.com"/>
    <x v="5"/>
    <n v="80"/>
    <n v="150"/>
    <n v="874"/>
    <n v="69920"/>
    <n v="131100"/>
    <n v="61180"/>
    <x v="1"/>
    <x v="4"/>
    <x v="6"/>
    <x v="1"/>
    <x v="0"/>
    <x v="6"/>
  </r>
  <r>
    <n v="10828"/>
    <x v="2"/>
    <s v="sorvi2000@gmail.com"/>
    <x v="6"/>
    <n v="90"/>
    <n v="150"/>
    <n v="958"/>
    <n v="86220"/>
    <n v="143700"/>
    <n v="57480"/>
    <x v="2"/>
    <x v="5"/>
    <x v="7"/>
    <x v="0"/>
    <x v="1"/>
    <x v="7"/>
  </r>
  <r>
    <n v="10829"/>
    <x v="1"/>
    <s v="gillhell@uk.com"/>
    <x v="0"/>
    <n v="150"/>
    <n v="200"/>
    <n v="742"/>
    <n v="111300"/>
    <n v="148400"/>
    <n v="37100"/>
    <x v="3"/>
    <x v="0"/>
    <x v="8"/>
    <x v="1"/>
    <x v="1"/>
    <x v="8"/>
  </r>
  <r>
    <n v="10830"/>
    <x v="2"/>
    <s v="sorvi2000@gmail.com"/>
    <x v="1"/>
    <n v="250"/>
    <n v="500"/>
    <n v="973"/>
    <n v="243250"/>
    <n v="486500"/>
    <n v="243250"/>
    <x v="4"/>
    <x v="1"/>
    <x v="9"/>
    <x v="1"/>
    <x v="1"/>
    <x v="9"/>
  </r>
  <r>
    <n v="10831"/>
    <x v="5"/>
    <s v="thomp@uk.com"/>
    <x v="2"/>
    <n v="180"/>
    <n v="450"/>
    <n v="961"/>
    <n v="172980"/>
    <n v="432450"/>
    <n v="259470"/>
    <x v="0"/>
    <x v="2"/>
    <x v="10"/>
    <x v="2"/>
    <x v="0"/>
    <x v="10"/>
  </r>
  <r>
    <n v="10832"/>
    <x v="4"/>
    <s v="andy@gmail.com"/>
    <x v="3"/>
    <n v="170"/>
    <n v="250"/>
    <n v="752"/>
    <n v="127840"/>
    <n v="188000"/>
    <n v="60160"/>
    <x v="1"/>
    <x v="3"/>
    <x v="11"/>
    <x v="2"/>
    <x v="0"/>
    <x v="11"/>
  </r>
  <r>
    <n v="10833"/>
    <x v="0"/>
    <s v="jard@gmail.com"/>
    <x v="4"/>
    <n v="150"/>
    <n v="200"/>
    <n v="938"/>
    <n v="140700"/>
    <n v="187600"/>
    <n v="46900"/>
    <x v="2"/>
    <x v="4"/>
    <x v="0"/>
    <x v="1"/>
    <x v="1"/>
    <x v="0"/>
  </r>
  <r>
    <n v="10834"/>
    <x v="0"/>
    <s v="jard@gmail.com"/>
    <x v="5"/>
    <n v="80"/>
    <n v="150"/>
    <n v="777"/>
    <n v="62160"/>
    <n v="116550"/>
    <n v="54390"/>
    <x v="3"/>
    <x v="5"/>
    <x v="1"/>
    <x v="1"/>
    <x v="1"/>
    <x v="1"/>
  </r>
  <r>
    <n v="10835"/>
    <x v="4"/>
    <s v="andy@gmail.com"/>
    <x v="6"/>
    <n v="90"/>
    <n v="150"/>
    <n v="855"/>
    <n v="76950"/>
    <n v="128250"/>
    <n v="51300"/>
    <x v="4"/>
    <x v="0"/>
    <x v="2"/>
    <x v="1"/>
    <x v="1"/>
    <x v="2"/>
  </r>
  <r>
    <n v="10836"/>
    <x v="0"/>
    <s v="jard@gmail.com"/>
    <x v="0"/>
    <n v="150"/>
    <n v="200"/>
    <n v="870"/>
    <n v="130500"/>
    <n v="174000"/>
    <n v="43500"/>
    <x v="0"/>
    <x v="1"/>
    <x v="3"/>
    <x v="2"/>
    <x v="0"/>
    <x v="3"/>
  </r>
  <r>
    <n v="10837"/>
    <x v="1"/>
    <s v="gillhell@uk.com"/>
    <x v="1"/>
    <n v="250"/>
    <n v="500"/>
    <n v="922"/>
    <n v="230500"/>
    <n v="461000"/>
    <n v="230500"/>
    <x v="1"/>
    <x v="2"/>
    <x v="4"/>
    <x v="1"/>
    <x v="0"/>
    <x v="4"/>
  </r>
  <r>
    <n v="10838"/>
    <x v="2"/>
    <s v="sorvi2000@gmail.com"/>
    <x v="2"/>
    <n v="180"/>
    <n v="450"/>
    <n v="856"/>
    <n v="154080"/>
    <n v="385200"/>
    <n v="231120"/>
    <x v="2"/>
    <x v="3"/>
    <x v="5"/>
    <x v="1"/>
    <x v="1"/>
    <x v="5"/>
  </r>
  <r>
    <n v="10839"/>
    <x v="3"/>
    <s v="jone.ai@yahoo.com"/>
    <x v="3"/>
    <n v="170"/>
    <n v="250"/>
    <n v="852"/>
    <n v="144840"/>
    <n v="213000"/>
    <n v="68160"/>
    <x v="3"/>
    <x v="4"/>
    <x v="6"/>
    <x v="1"/>
    <x v="1"/>
    <x v="6"/>
  </r>
  <r>
    <n v="10840"/>
    <x v="4"/>
    <s v="andy@gmail.com"/>
    <x v="4"/>
    <n v="150"/>
    <n v="200"/>
    <n v="981"/>
    <n v="147150"/>
    <n v="196200"/>
    <n v="49050"/>
    <x v="4"/>
    <x v="5"/>
    <x v="7"/>
    <x v="1"/>
    <x v="1"/>
    <x v="7"/>
  </r>
  <r>
    <n v="10841"/>
    <x v="0"/>
    <s v="jard@gmail.com"/>
    <x v="5"/>
    <n v="80"/>
    <n v="150"/>
    <n v="910"/>
    <n v="72800"/>
    <n v="136500"/>
    <n v="63700"/>
    <x v="0"/>
    <x v="0"/>
    <x v="8"/>
    <x v="2"/>
    <x v="0"/>
    <x v="8"/>
  </r>
  <r>
    <n v="10842"/>
    <x v="5"/>
    <s v="thomp@uk.com"/>
    <x v="6"/>
    <n v="90"/>
    <n v="150"/>
    <n v="805"/>
    <n v="72450"/>
    <n v="120750"/>
    <n v="48300"/>
    <x v="1"/>
    <x v="1"/>
    <x v="9"/>
    <x v="1"/>
    <x v="0"/>
    <x v="9"/>
  </r>
  <r>
    <n v="10843"/>
    <x v="3"/>
    <s v="jone.ai@yahoo.com"/>
    <x v="0"/>
    <n v="150"/>
    <n v="200"/>
    <n v="932"/>
    <n v="139800"/>
    <n v="186400"/>
    <n v="46600"/>
    <x v="2"/>
    <x v="2"/>
    <x v="10"/>
    <x v="1"/>
    <x v="1"/>
    <x v="10"/>
  </r>
  <r>
    <n v="10844"/>
    <x v="6"/>
    <s v="morganny@gmail.com"/>
    <x v="1"/>
    <n v="250"/>
    <n v="500"/>
    <n v="891"/>
    <n v="222750"/>
    <n v="445500"/>
    <n v="222750"/>
    <x v="3"/>
    <x v="3"/>
    <x v="11"/>
    <x v="1"/>
    <x v="1"/>
    <x v="11"/>
  </r>
  <r>
    <n v="10845"/>
    <x v="7"/>
    <s v="howard_freeman@yahoo.com"/>
    <x v="2"/>
    <n v="180"/>
    <n v="450"/>
    <n v="803"/>
    <n v="144540"/>
    <n v="361350"/>
    <n v="216810"/>
    <x v="4"/>
    <x v="4"/>
    <x v="0"/>
    <x v="1"/>
    <x v="1"/>
    <x v="0"/>
  </r>
  <r>
    <n v="10846"/>
    <x v="8"/>
    <s v="parentty@uk.com"/>
    <x v="3"/>
    <n v="170"/>
    <n v="250"/>
    <n v="818"/>
    <n v="139060"/>
    <n v="204500"/>
    <n v="65440"/>
    <x v="0"/>
    <x v="5"/>
    <x v="1"/>
    <x v="2"/>
    <x v="0"/>
    <x v="1"/>
  </r>
  <r>
    <n v="10847"/>
    <x v="3"/>
    <s v="jone.ai@yahoo.com"/>
    <x v="4"/>
    <n v="150"/>
    <n v="200"/>
    <n v="932"/>
    <n v="139800"/>
    <n v="186400"/>
    <n v="46600"/>
    <x v="1"/>
    <x v="0"/>
    <x v="2"/>
    <x v="0"/>
    <x v="0"/>
    <x v="2"/>
  </r>
  <r>
    <n v="10848"/>
    <x v="9"/>
    <s v="smithMan@yahoo.com"/>
    <x v="5"/>
    <n v="80"/>
    <n v="150"/>
    <n v="893"/>
    <n v="71440"/>
    <n v="133950"/>
    <n v="62510"/>
    <x v="2"/>
    <x v="1"/>
    <x v="3"/>
    <x v="0"/>
    <x v="1"/>
    <x v="3"/>
  </r>
  <r>
    <n v="10849"/>
    <x v="3"/>
    <s v="jone.ai@yahoo.com"/>
    <x v="6"/>
    <n v="90"/>
    <n v="150"/>
    <n v="824"/>
    <n v="74160"/>
    <n v="123600"/>
    <n v="49440"/>
    <x v="3"/>
    <x v="2"/>
    <x v="4"/>
    <x v="0"/>
    <x v="1"/>
    <x v="4"/>
  </r>
  <r>
    <n v="10850"/>
    <x v="0"/>
    <s v="jard@gmail.com"/>
    <x v="0"/>
    <n v="150"/>
    <n v="200"/>
    <n v="931"/>
    <n v="139650"/>
    <n v="186200"/>
    <n v="46550"/>
    <x v="4"/>
    <x v="3"/>
    <x v="5"/>
    <x v="0"/>
    <x v="1"/>
    <x v="5"/>
  </r>
  <r>
    <n v="10851"/>
    <x v="1"/>
    <s v="gillhell@uk.com"/>
    <x v="1"/>
    <n v="250"/>
    <n v="500"/>
    <n v="783"/>
    <n v="195750"/>
    <n v="391500"/>
    <n v="195750"/>
    <x v="0"/>
    <x v="4"/>
    <x v="6"/>
    <x v="0"/>
    <x v="0"/>
    <x v="6"/>
  </r>
  <r>
    <n v="10852"/>
    <x v="2"/>
    <s v="sorvi2000@gmail.com"/>
    <x v="2"/>
    <n v="180"/>
    <n v="450"/>
    <n v="708"/>
    <n v="127440"/>
    <n v="318600"/>
    <n v="191160"/>
    <x v="1"/>
    <x v="5"/>
    <x v="7"/>
    <x v="2"/>
    <x v="0"/>
    <x v="7"/>
  </r>
  <r>
    <n v="10853"/>
    <x v="3"/>
    <s v="jone.ai@yahoo.com"/>
    <x v="3"/>
    <n v="170"/>
    <n v="250"/>
    <n v="861"/>
    <n v="146370"/>
    <n v="215250"/>
    <n v="68880"/>
    <x v="2"/>
    <x v="0"/>
    <x v="8"/>
    <x v="2"/>
    <x v="1"/>
    <x v="8"/>
  </r>
  <r>
    <n v="10854"/>
    <x v="4"/>
    <s v="andy@gmail.com"/>
    <x v="4"/>
    <n v="150"/>
    <n v="200"/>
    <n v="798"/>
    <n v="119700"/>
    <n v="159600"/>
    <n v="39900"/>
    <x v="3"/>
    <x v="1"/>
    <x v="9"/>
    <x v="2"/>
    <x v="1"/>
    <x v="9"/>
  </r>
  <r>
    <n v="10855"/>
    <x v="0"/>
    <s v="jard@gmail.com"/>
    <x v="5"/>
    <n v="80"/>
    <n v="150"/>
    <n v="934"/>
    <n v="74720"/>
    <n v="140100"/>
    <n v="65380"/>
    <x v="4"/>
    <x v="2"/>
    <x v="10"/>
    <x v="0"/>
    <x v="1"/>
    <x v="10"/>
  </r>
  <r>
    <n v="10856"/>
    <x v="5"/>
    <s v="thomp@uk.com"/>
    <x v="6"/>
    <n v="90"/>
    <n v="150"/>
    <n v="950"/>
    <n v="85500"/>
    <n v="142500"/>
    <n v="57000"/>
    <x v="0"/>
    <x v="3"/>
    <x v="11"/>
    <x v="2"/>
    <x v="0"/>
    <x v="11"/>
  </r>
  <r>
    <n v="10857"/>
    <x v="3"/>
    <s v="jone.ai@yahoo.com"/>
    <x v="0"/>
    <n v="150"/>
    <n v="200"/>
    <n v="986"/>
    <n v="147900"/>
    <n v="197200"/>
    <n v="49300"/>
    <x v="1"/>
    <x v="4"/>
    <x v="0"/>
    <x v="1"/>
    <x v="0"/>
    <x v="0"/>
  </r>
  <r>
    <n v="10858"/>
    <x v="6"/>
    <s v="morganny@gmail.com"/>
    <x v="1"/>
    <n v="250"/>
    <n v="500"/>
    <n v="767"/>
    <n v="191750"/>
    <n v="383500"/>
    <n v="191750"/>
    <x v="2"/>
    <x v="5"/>
    <x v="1"/>
    <x v="2"/>
    <x v="1"/>
    <x v="1"/>
  </r>
  <r>
    <n v="10859"/>
    <x v="7"/>
    <s v="howard_freeman@yahoo.com"/>
    <x v="2"/>
    <n v="180"/>
    <n v="450"/>
    <n v="898"/>
    <n v="161640"/>
    <n v="404100"/>
    <n v="242460"/>
    <x v="3"/>
    <x v="0"/>
    <x v="2"/>
    <x v="2"/>
    <x v="1"/>
    <x v="2"/>
  </r>
  <r>
    <n v="10860"/>
    <x v="8"/>
    <s v="parentty@uk.com"/>
    <x v="3"/>
    <n v="170"/>
    <n v="250"/>
    <n v="859"/>
    <n v="146030"/>
    <n v="214750"/>
    <n v="68720"/>
    <x v="4"/>
    <x v="1"/>
    <x v="3"/>
    <x v="1"/>
    <x v="1"/>
    <x v="3"/>
  </r>
  <r>
    <n v="10861"/>
    <x v="3"/>
    <s v="jone.ai@yahoo.com"/>
    <x v="4"/>
    <n v="150"/>
    <n v="200"/>
    <n v="934"/>
    <n v="140100"/>
    <n v="186800"/>
    <n v="46700"/>
    <x v="0"/>
    <x v="2"/>
    <x v="4"/>
    <x v="0"/>
    <x v="0"/>
    <x v="4"/>
  </r>
  <r>
    <n v="10862"/>
    <x v="9"/>
    <s v="smithMan@yahoo.com"/>
    <x v="5"/>
    <n v="80"/>
    <n v="150"/>
    <n v="879"/>
    <n v="70320"/>
    <n v="131850"/>
    <n v="61530"/>
    <x v="1"/>
    <x v="3"/>
    <x v="5"/>
    <x v="2"/>
    <x v="0"/>
    <x v="5"/>
  </r>
  <r>
    <n v="10863"/>
    <x v="3"/>
    <s v="jone.ai@yahoo.com"/>
    <x v="6"/>
    <n v="90"/>
    <n v="150"/>
    <n v="872"/>
    <n v="78480"/>
    <n v="130800"/>
    <n v="52320"/>
    <x v="2"/>
    <x v="4"/>
    <x v="6"/>
    <x v="2"/>
    <x v="1"/>
    <x v="6"/>
  </r>
  <r>
    <n v="10864"/>
    <x v="6"/>
    <s v="morganny@gmail.com"/>
    <x v="0"/>
    <n v="150"/>
    <n v="200"/>
    <n v="991"/>
    <n v="148650"/>
    <n v="198200"/>
    <n v="49550"/>
    <x v="3"/>
    <x v="5"/>
    <x v="7"/>
    <x v="1"/>
    <x v="1"/>
    <x v="7"/>
  </r>
  <r>
    <n v="10865"/>
    <x v="3"/>
    <s v="jone.ai@yahoo.com"/>
    <x v="1"/>
    <n v="250"/>
    <n v="500"/>
    <n v="738"/>
    <n v="184500"/>
    <n v="369000"/>
    <n v="184500"/>
    <x v="4"/>
    <x v="0"/>
    <x v="8"/>
    <x v="1"/>
    <x v="1"/>
    <x v="8"/>
  </r>
  <r>
    <n v="10866"/>
    <x v="8"/>
    <s v="parentty@uk.com"/>
    <x v="2"/>
    <n v="180"/>
    <n v="450"/>
    <n v="849"/>
    <n v="152820"/>
    <n v="382050"/>
    <n v="229230"/>
    <x v="0"/>
    <x v="1"/>
    <x v="9"/>
    <x v="1"/>
    <x v="0"/>
    <x v="9"/>
  </r>
  <r>
    <n v="10867"/>
    <x v="10"/>
    <s v="kivel_go@yahoo.com"/>
    <x v="3"/>
    <n v="170"/>
    <n v="250"/>
    <n v="997"/>
    <n v="169490"/>
    <n v="249250"/>
    <n v="79760"/>
    <x v="1"/>
    <x v="2"/>
    <x v="10"/>
    <x v="2"/>
    <x v="0"/>
    <x v="10"/>
  </r>
  <r>
    <n v="10868"/>
    <x v="9"/>
    <s v="smithMan@yahoo.com"/>
    <x v="4"/>
    <n v="150"/>
    <n v="200"/>
    <n v="842"/>
    <n v="126300"/>
    <n v="168400"/>
    <n v="42100"/>
    <x v="2"/>
    <x v="3"/>
    <x v="11"/>
    <x v="2"/>
    <x v="1"/>
    <x v="11"/>
  </r>
  <r>
    <n v="10869"/>
    <x v="8"/>
    <s v="parentty@uk.com"/>
    <x v="5"/>
    <n v="80"/>
    <n v="150"/>
    <n v="866"/>
    <n v="69280"/>
    <n v="129900"/>
    <n v="60620"/>
    <x v="3"/>
    <x v="4"/>
    <x v="0"/>
    <x v="0"/>
    <x v="1"/>
    <x v="0"/>
  </r>
  <r>
    <n v="10870"/>
    <x v="1"/>
    <s v="gillhell@uk.com"/>
    <x v="6"/>
    <n v="90"/>
    <n v="150"/>
    <n v="904"/>
    <n v="81360"/>
    <n v="135600"/>
    <n v="54240"/>
    <x v="4"/>
    <x v="5"/>
    <x v="1"/>
    <x v="1"/>
    <x v="1"/>
    <x v="1"/>
  </r>
  <r>
    <n v="10871"/>
    <x v="9"/>
    <s v="smithMan@yahoo.com"/>
    <x v="0"/>
    <n v="150"/>
    <n v="200"/>
    <n v="977"/>
    <n v="146550"/>
    <n v="195400"/>
    <n v="48850"/>
    <x v="0"/>
    <x v="0"/>
    <x v="2"/>
    <x v="1"/>
    <x v="0"/>
    <x v="2"/>
  </r>
  <r>
    <n v="10872"/>
    <x v="3"/>
    <s v="jone.ai@yahoo.com"/>
    <x v="1"/>
    <n v="250"/>
    <n v="500"/>
    <n v="848"/>
    <n v="212000"/>
    <n v="424000"/>
    <n v="212000"/>
    <x v="1"/>
    <x v="1"/>
    <x v="3"/>
    <x v="2"/>
    <x v="0"/>
    <x v="3"/>
  </r>
  <r>
    <n v="10873"/>
    <x v="2"/>
    <s v="sorvi2000@gmail.com"/>
    <x v="2"/>
    <n v="180"/>
    <n v="450"/>
    <n v="924"/>
    <n v="166320"/>
    <n v="415800"/>
    <n v="249480"/>
    <x v="2"/>
    <x v="2"/>
    <x v="4"/>
    <x v="2"/>
    <x v="1"/>
    <x v="4"/>
  </r>
  <r>
    <n v="10874"/>
    <x v="0"/>
    <s v="jard@gmail.com"/>
    <x v="3"/>
    <n v="170"/>
    <n v="250"/>
    <n v="977"/>
    <n v="166090"/>
    <n v="244250"/>
    <n v="78160"/>
    <x v="3"/>
    <x v="3"/>
    <x v="5"/>
    <x v="0"/>
    <x v="1"/>
    <x v="5"/>
  </r>
  <r>
    <n v="10875"/>
    <x v="4"/>
    <s v="andy@gmail.com"/>
    <x v="4"/>
    <n v="150"/>
    <n v="200"/>
    <n v="771"/>
    <n v="115650"/>
    <n v="154200"/>
    <n v="38550"/>
    <x v="4"/>
    <x v="4"/>
    <x v="6"/>
    <x v="2"/>
    <x v="1"/>
    <x v="6"/>
  </r>
  <r>
    <n v="10876"/>
    <x v="7"/>
    <s v="howard_freeman@yahoo.com"/>
    <x v="5"/>
    <n v="80"/>
    <n v="150"/>
    <n v="862"/>
    <n v="68960"/>
    <n v="129300"/>
    <n v="60340"/>
    <x v="0"/>
    <x v="5"/>
    <x v="7"/>
    <x v="2"/>
    <x v="0"/>
    <x v="7"/>
  </r>
  <r>
    <n v="10877"/>
    <x v="1"/>
    <s v="gillhell@uk.com"/>
    <x v="6"/>
    <n v="90"/>
    <n v="150"/>
    <n v="716"/>
    <n v="64440"/>
    <n v="107400"/>
    <n v="42960"/>
    <x v="1"/>
    <x v="0"/>
    <x v="8"/>
    <x v="0"/>
    <x v="0"/>
    <x v="8"/>
  </r>
  <r>
    <n v="10878"/>
    <x v="1"/>
    <s v="gillhell@uk.com"/>
    <x v="0"/>
    <n v="150"/>
    <n v="200"/>
    <n v="923"/>
    <n v="138450"/>
    <n v="184600"/>
    <n v="46150"/>
    <x v="2"/>
    <x v="1"/>
    <x v="9"/>
    <x v="2"/>
    <x v="1"/>
    <x v="9"/>
  </r>
  <r>
    <n v="10879"/>
    <x v="10"/>
    <s v="kivel_go@yahoo.com"/>
    <x v="1"/>
    <n v="250"/>
    <n v="500"/>
    <n v="729"/>
    <n v="182250"/>
    <n v="364500"/>
    <n v="182250"/>
    <x v="3"/>
    <x v="2"/>
    <x v="10"/>
    <x v="1"/>
    <x v="1"/>
    <x v="10"/>
  </r>
  <r>
    <n v="10880"/>
    <x v="3"/>
    <s v="jone.ai@yahoo.com"/>
    <x v="2"/>
    <n v="180"/>
    <n v="450"/>
    <n v="766"/>
    <n v="137880"/>
    <n v="344700"/>
    <n v="206820"/>
    <x v="4"/>
    <x v="3"/>
    <x v="11"/>
    <x v="2"/>
    <x v="1"/>
    <x v="11"/>
  </r>
  <r>
    <n v="10881"/>
    <x v="6"/>
    <s v="morganny@gmail.com"/>
    <x v="3"/>
    <n v="170"/>
    <n v="250"/>
    <n v="704"/>
    <n v="119680"/>
    <n v="176000"/>
    <n v="56320"/>
    <x v="0"/>
    <x v="4"/>
    <x v="0"/>
    <x v="0"/>
    <x v="0"/>
    <x v="0"/>
  </r>
  <r>
    <n v="10882"/>
    <x v="10"/>
    <s v="kivel_go@yahoo.com"/>
    <x v="4"/>
    <n v="150"/>
    <n v="200"/>
    <n v="823"/>
    <n v="123450"/>
    <n v="164600"/>
    <n v="41150"/>
    <x v="1"/>
    <x v="5"/>
    <x v="1"/>
    <x v="1"/>
    <x v="0"/>
    <x v="1"/>
  </r>
  <r>
    <n v="10883"/>
    <x v="2"/>
    <s v="sorvi2000@gmail.com"/>
    <x v="5"/>
    <n v="80"/>
    <n v="150"/>
    <n v="869"/>
    <n v="69520"/>
    <n v="130350"/>
    <n v="60830"/>
    <x v="2"/>
    <x v="0"/>
    <x v="2"/>
    <x v="2"/>
    <x v="1"/>
    <x v="2"/>
  </r>
  <r>
    <n v="10884"/>
    <x v="1"/>
    <s v="gillhell@uk.com"/>
    <x v="6"/>
    <n v="90"/>
    <n v="150"/>
    <n v="928"/>
    <n v="83520"/>
    <n v="139200"/>
    <n v="55680"/>
    <x v="3"/>
    <x v="1"/>
    <x v="3"/>
    <x v="0"/>
    <x v="1"/>
    <x v="3"/>
  </r>
  <r>
    <n v="10885"/>
    <x v="2"/>
    <s v="sorvi2000@gmail.com"/>
    <x v="0"/>
    <n v="150"/>
    <n v="200"/>
    <n v="903"/>
    <n v="135450"/>
    <n v="180600"/>
    <n v="45150"/>
    <x v="4"/>
    <x v="2"/>
    <x v="4"/>
    <x v="0"/>
    <x v="1"/>
    <x v="4"/>
  </r>
  <r>
    <n v="10886"/>
    <x v="5"/>
    <s v="thomp@uk.com"/>
    <x v="1"/>
    <n v="250"/>
    <n v="500"/>
    <n v="916"/>
    <n v="229000"/>
    <n v="458000"/>
    <n v="229000"/>
    <x v="0"/>
    <x v="3"/>
    <x v="5"/>
    <x v="1"/>
    <x v="0"/>
    <x v="5"/>
  </r>
  <r>
    <n v="10887"/>
    <x v="4"/>
    <s v="andy@gmail.com"/>
    <x v="2"/>
    <n v="180"/>
    <n v="450"/>
    <n v="988"/>
    <n v="177840"/>
    <n v="444600"/>
    <n v="266760"/>
    <x v="1"/>
    <x v="4"/>
    <x v="6"/>
    <x v="1"/>
    <x v="0"/>
    <x v="6"/>
  </r>
  <r>
    <n v="10888"/>
    <x v="0"/>
    <s v="jard@gmail.com"/>
    <x v="3"/>
    <n v="170"/>
    <n v="250"/>
    <n v="905"/>
    <n v="153850"/>
    <n v="226250"/>
    <n v="72400"/>
    <x v="2"/>
    <x v="5"/>
    <x v="7"/>
    <x v="2"/>
    <x v="1"/>
    <x v="7"/>
  </r>
  <r>
    <n v="10889"/>
    <x v="0"/>
    <s v="jard@gmail.com"/>
    <x v="4"/>
    <n v="150"/>
    <n v="200"/>
    <n v="947"/>
    <n v="142050"/>
    <n v="189400"/>
    <n v="47350"/>
    <x v="3"/>
    <x v="0"/>
    <x v="8"/>
    <x v="1"/>
    <x v="1"/>
    <x v="8"/>
  </r>
  <r>
    <n v="10890"/>
    <x v="4"/>
    <s v="andy@gmail.com"/>
    <x v="5"/>
    <n v="80"/>
    <n v="150"/>
    <n v="926"/>
    <n v="74080"/>
    <n v="138900"/>
    <n v="64820"/>
    <x v="4"/>
    <x v="1"/>
    <x v="9"/>
    <x v="2"/>
    <x v="1"/>
    <x v="9"/>
  </r>
  <r>
    <n v="10891"/>
    <x v="0"/>
    <s v="jard@gmail.com"/>
    <x v="6"/>
    <n v="90"/>
    <n v="150"/>
    <n v="907"/>
    <n v="81630"/>
    <n v="136050"/>
    <n v="54420"/>
    <x v="0"/>
    <x v="2"/>
    <x v="10"/>
    <x v="0"/>
    <x v="0"/>
    <x v="10"/>
  </r>
  <r>
    <n v="10892"/>
    <x v="1"/>
    <s v="gillhell@uk.com"/>
    <x v="0"/>
    <n v="150"/>
    <n v="200"/>
    <n v="848"/>
    <n v="127200"/>
    <n v="169600"/>
    <n v="42400"/>
    <x v="1"/>
    <x v="3"/>
    <x v="11"/>
    <x v="0"/>
    <x v="0"/>
    <x v="11"/>
  </r>
  <r>
    <n v="10893"/>
    <x v="2"/>
    <s v="sorvi2000@gmail.com"/>
    <x v="1"/>
    <n v="250"/>
    <n v="500"/>
    <n v="878"/>
    <n v="219500"/>
    <n v="439000"/>
    <n v="219500"/>
    <x v="2"/>
    <x v="4"/>
    <x v="0"/>
    <x v="2"/>
    <x v="1"/>
    <x v="0"/>
  </r>
  <r>
    <n v="10894"/>
    <x v="3"/>
    <s v="jone.ai@yahoo.com"/>
    <x v="2"/>
    <n v="180"/>
    <n v="450"/>
    <n v="706"/>
    <n v="127080"/>
    <n v="317700"/>
    <n v="190620"/>
    <x v="3"/>
    <x v="5"/>
    <x v="1"/>
    <x v="1"/>
    <x v="1"/>
    <x v="1"/>
  </r>
  <r>
    <n v="10895"/>
    <x v="4"/>
    <s v="andy@gmail.com"/>
    <x v="3"/>
    <n v="170"/>
    <n v="250"/>
    <n v="781"/>
    <n v="132770"/>
    <n v="195250"/>
    <n v="62480"/>
    <x v="4"/>
    <x v="0"/>
    <x v="2"/>
    <x v="0"/>
    <x v="1"/>
    <x v="2"/>
  </r>
  <r>
    <n v="10896"/>
    <x v="0"/>
    <s v="jard@gmail.com"/>
    <x v="4"/>
    <n v="150"/>
    <n v="200"/>
    <n v="818"/>
    <n v="122700"/>
    <n v="163600"/>
    <n v="40900"/>
    <x v="0"/>
    <x v="1"/>
    <x v="3"/>
    <x v="2"/>
    <x v="0"/>
    <x v="3"/>
  </r>
  <r>
    <n v="10897"/>
    <x v="5"/>
    <s v="thomp@uk.com"/>
    <x v="5"/>
    <n v="80"/>
    <n v="150"/>
    <n v="852"/>
    <n v="68160"/>
    <n v="127800"/>
    <n v="59640"/>
    <x v="1"/>
    <x v="2"/>
    <x v="4"/>
    <x v="2"/>
    <x v="0"/>
    <x v="4"/>
  </r>
  <r>
    <n v="10898"/>
    <x v="3"/>
    <s v="jone.ai@yahoo.com"/>
    <x v="6"/>
    <n v="90"/>
    <n v="150"/>
    <n v="786"/>
    <n v="70740"/>
    <n v="117900"/>
    <n v="47160"/>
    <x v="2"/>
    <x v="3"/>
    <x v="5"/>
    <x v="0"/>
    <x v="1"/>
    <x v="5"/>
  </r>
  <r>
    <n v="10899"/>
    <x v="6"/>
    <s v="morganny@gmail.com"/>
    <x v="0"/>
    <n v="150"/>
    <n v="200"/>
    <n v="1000"/>
    <n v="150000"/>
    <n v="200000"/>
    <n v="50000"/>
    <x v="3"/>
    <x v="4"/>
    <x v="6"/>
    <x v="1"/>
    <x v="1"/>
    <x v="6"/>
  </r>
  <r>
    <n v="10900"/>
    <x v="7"/>
    <s v="howard_freeman@yahoo.com"/>
    <x v="1"/>
    <n v="250"/>
    <n v="500"/>
    <n v="952"/>
    <n v="238000"/>
    <n v="476000"/>
    <n v="238000"/>
    <x v="4"/>
    <x v="5"/>
    <x v="7"/>
    <x v="2"/>
    <x v="1"/>
    <x v="7"/>
  </r>
  <r>
    <n v="10901"/>
    <x v="8"/>
    <s v="parentty@uk.com"/>
    <x v="2"/>
    <n v="180"/>
    <n v="450"/>
    <n v="839"/>
    <n v="151020"/>
    <n v="377550"/>
    <n v="226530"/>
    <x v="0"/>
    <x v="0"/>
    <x v="8"/>
    <x v="1"/>
    <x v="0"/>
    <x v="8"/>
  </r>
  <r>
    <n v="10902"/>
    <x v="3"/>
    <s v="jone.ai@yahoo.com"/>
    <x v="3"/>
    <n v="170"/>
    <n v="250"/>
    <n v="952"/>
    <n v="161840"/>
    <n v="238000"/>
    <n v="76160"/>
    <x v="1"/>
    <x v="1"/>
    <x v="9"/>
    <x v="2"/>
    <x v="0"/>
    <x v="9"/>
  </r>
  <r>
    <n v="10903"/>
    <x v="9"/>
    <s v="smithMan@yahoo.com"/>
    <x v="4"/>
    <n v="150"/>
    <n v="200"/>
    <n v="777"/>
    <n v="116550"/>
    <n v="155400"/>
    <n v="38850"/>
    <x v="2"/>
    <x v="2"/>
    <x v="10"/>
    <x v="2"/>
    <x v="1"/>
    <x v="10"/>
  </r>
  <r>
    <n v="10904"/>
    <x v="3"/>
    <s v="jone.ai@yahoo.com"/>
    <x v="5"/>
    <n v="80"/>
    <n v="150"/>
    <n v="864"/>
    <n v="69120"/>
    <n v="129600"/>
    <n v="60480"/>
    <x v="3"/>
    <x v="3"/>
    <x v="11"/>
    <x v="1"/>
    <x v="1"/>
    <x v="11"/>
  </r>
  <r>
    <n v="10905"/>
    <x v="6"/>
    <s v="morganny@gmail.com"/>
    <x v="6"/>
    <n v="90"/>
    <n v="150"/>
    <n v="934"/>
    <n v="84060"/>
    <n v="140100"/>
    <n v="56040"/>
    <x v="4"/>
    <x v="4"/>
    <x v="0"/>
    <x v="2"/>
    <x v="1"/>
    <x v="0"/>
  </r>
  <r>
    <n v="10906"/>
    <x v="3"/>
    <s v="jone.ai@yahoo.com"/>
    <x v="0"/>
    <n v="150"/>
    <n v="200"/>
    <n v="902"/>
    <n v="135300"/>
    <n v="180400"/>
    <n v="45100"/>
    <x v="0"/>
    <x v="5"/>
    <x v="1"/>
    <x v="1"/>
    <x v="0"/>
    <x v="1"/>
  </r>
  <r>
    <n v="10907"/>
    <x v="8"/>
    <s v="parentty@uk.com"/>
    <x v="1"/>
    <n v="250"/>
    <n v="500"/>
    <n v="793"/>
    <n v="198250"/>
    <n v="396500"/>
    <n v="198250"/>
    <x v="1"/>
    <x v="0"/>
    <x v="2"/>
    <x v="2"/>
    <x v="0"/>
    <x v="2"/>
  </r>
  <r>
    <n v="10908"/>
    <x v="10"/>
    <s v="kivel_go@yahoo.com"/>
    <x v="2"/>
    <n v="180"/>
    <n v="450"/>
    <n v="735"/>
    <n v="132300"/>
    <n v="330750"/>
    <n v="198450"/>
    <x v="2"/>
    <x v="1"/>
    <x v="3"/>
    <x v="0"/>
    <x v="1"/>
    <x v="3"/>
  </r>
  <r>
    <n v="10909"/>
    <x v="9"/>
    <s v="smithMan@yahoo.com"/>
    <x v="3"/>
    <n v="170"/>
    <n v="250"/>
    <n v="890"/>
    <n v="151300"/>
    <n v="222500"/>
    <n v="71200"/>
    <x v="3"/>
    <x v="2"/>
    <x v="4"/>
    <x v="1"/>
    <x v="1"/>
    <x v="4"/>
  </r>
  <r>
    <n v="10910"/>
    <x v="8"/>
    <s v="parentty@uk.com"/>
    <x v="4"/>
    <n v="150"/>
    <n v="200"/>
    <n v="969"/>
    <n v="145350"/>
    <n v="193800"/>
    <n v="48450"/>
    <x v="4"/>
    <x v="3"/>
    <x v="5"/>
    <x v="1"/>
    <x v="1"/>
    <x v="5"/>
  </r>
  <r>
    <n v="10911"/>
    <x v="1"/>
    <s v="gillhell@uk.com"/>
    <x v="5"/>
    <n v="80"/>
    <n v="150"/>
    <n v="978"/>
    <n v="78240"/>
    <n v="146700"/>
    <n v="68460"/>
    <x v="0"/>
    <x v="4"/>
    <x v="6"/>
    <x v="0"/>
    <x v="0"/>
    <x v="6"/>
  </r>
  <r>
    <n v="10912"/>
    <x v="9"/>
    <s v="smithMan@yahoo.com"/>
    <x v="6"/>
    <n v="90"/>
    <n v="150"/>
    <n v="855"/>
    <n v="76950"/>
    <n v="128250"/>
    <n v="51300"/>
    <x v="1"/>
    <x v="5"/>
    <x v="7"/>
    <x v="2"/>
    <x v="0"/>
    <x v="7"/>
  </r>
  <r>
    <n v="10913"/>
    <x v="3"/>
    <s v="jone.ai@yahoo.com"/>
    <x v="0"/>
    <n v="150"/>
    <n v="200"/>
    <n v="835"/>
    <n v="125250"/>
    <n v="167000"/>
    <n v="41750"/>
    <x v="2"/>
    <x v="0"/>
    <x v="8"/>
    <x v="2"/>
    <x v="1"/>
    <x v="8"/>
  </r>
  <r>
    <n v="10914"/>
    <x v="2"/>
    <s v="sorvi2000@gmail.com"/>
    <x v="1"/>
    <n v="250"/>
    <n v="500"/>
    <n v="835"/>
    <n v="208750"/>
    <n v="417500"/>
    <n v="208750"/>
    <x v="3"/>
    <x v="1"/>
    <x v="9"/>
    <x v="0"/>
    <x v="1"/>
    <x v="9"/>
  </r>
  <r>
    <n v="10915"/>
    <x v="0"/>
    <s v="jard@gmail.com"/>
    <x v="2"/>
    <n v="180"/>
    <n v="450"/>
    <n v="992"/>
    <n v="178560"/>
    <n v="446400"/>
    <n v="267840"/>
    <x v="4"/>
    <x v="2"/>
    <x v="10"/>
    <x v="1"/>
    <x v="1"/>
    <x v="10"/>
  </r>
  <r>
    <n v="10916"/>
    <x v="4"/>
    <s v="andy@gmail.com"/>
    <x v="3"/>
    <n v="170"/>
    <n v="250"/>
    <n v="702"/>
    <n v="119340"/>
    <n v="175500"/>
    <n v="56160"/>
    <x v="0"/>
    <x v="3"/>
    <x v="11"/>
    <x v="2"/>
    <x v="0"/>
    <x v="11"/>
  </r>
  <r>
    <n v="10917"/>
    <x v="7"/>
    <s v="howard_freeman@yahoo.com"/>
    <x v="4"/>
    <n v="150"/>
    <n v="200"/>
    <n v="925"/>
    <n v="138750"/>
    <n v="185000"/>
    <n v="46250"/>
    <x v="1"/>
    <x v="4"/>
    <x v="0"/>
    <x v="0"/>
    <x v="0"/>
    <x v="0"/>
  </r>
  <r>
    <n v="10918"/>
    <x v="1"/>
    <s v="gillhell@uk.com"/>
    <x v="5"/>
    <n v="80"/>
    <n v="150"/>
    <n v="997"/>
    <n v="79760"/>
    <n v="149550"/>
    <n v="69790"/>
    <x v="2"/>
    <x v="5"/>
    <x v="1"/>
    <x v="2"/>
    <x v="1"/>
    <x v="1"/>
  </r>
  <r>
    <n v="10919"/>
    <x v="1"/>
    <s v="gillhell@uk.com"/>
    <x v="6"/>
    <n v="90"/>
    <n v="150"/>
    <n v="796"/>
    <n v="71640"/>
    <n v="119400"/>
    <n v="47760"/>
    <x v="3"/>
    <x v="0"/>
    <x v="2"/>
    <x v="0"/>
    <x v="1"/>
    <x v="2"/>
  </r>
  <r>
    <n v="10920"/>
    <x v="10"/>
    <s v="kivel_go@yahoo.com"/>
    <x v="0"/>
    <n v="150"/>
    <n v="200"/>
    <n v="741"/>
    <n v="111150"/>
    <n v="148200"/>
    <n v="37050"/>
    <x v="4"/>
    <x v="1"/>
    <x v="3"/>
    <x v="0"/>
    <x v="1"/>
    <x v="3"/>
  </r>
  <r>
    <n v="10921"/>
    <x v="3"/>
    <s v="jone.ai@yahoo.com"/>
    <x v="1"/>
    <n v="250"/>
    <n v="500"/>
    <n v="827"/>
    <n v="206750"/>
    <n v="413500"/>
    <n v="206750"/>
    <x v="0"/>
    <x v="2"/>
    <x v="4"/>
    <x v="1"/>
    <x v="0"/>
    <x v="4"/>
  </r>
  <r>
    <n v="10922"/>
    <x v="6"/>
    <s v="morganny@gmail.com"/>
    <x v="2"/>
    <n v="180"/>
    <n v="450"/>
    <n v="849"/>
    <n v="152820"/>
    <n v="382050"/>
    <n v="229230"/>
    <x v="1"/>
    <x v="3"/>
    <x v="5"/>
    <x v="1"/>
    <x v="0"/>
    <x v="5"/>
  </r>
  <r>
    <n v="10923"/>
    <x v="10"/>
    <s v="kivel_go@yahoo.com"/>
    <x v="3"/>
    <n v="170"/>
    <n v="250"/>
    <n v="742"/>
    <n v="126140"/>
    <n v="185500"/>
    <n v="59360"/>
    <x v="2"/>
    <x v="4"/>
    <x v="6"/>
    <x v="0"/>
    <x v="1"/>
    <x v="6"/>
  </r>
  <r>
    <n v="10924"/>
    <x v="2"/>
    <s v="sorvi2000@gmail.com"/>
    <x v="4"/>
    <n v="150"/>
    <n v="200"/>
    <n v="965"/>
    <n v="144750"/>
    <n v="193000"/>
    <n v="48250"/>
    <x v="3"/>
    <x v="5"/>
    <x v="7"/>
    <x v="2"/>
    <x v="1"/>
    <x v="7"/>
  </r>
  <r>
    <n v="10925"/>
    <x v="1"/>
    <s v="gillhell@uk.com"/>
    <x v="5"/>
    <n v="80"/>
    <n v="150"/>
    <n v="983"/>
    <n v="78640"/>
    <n v="147450"/>
    <n v="68810"/>
    <x v="4"/>
    <x v="0"/>
    <x v="8"/>
    <x v="0"/>
    <x v="1"/>
    <x v="8"/>
  </r>
  <r>
    <n v="10926"/>
    <x v="2"/>
    <s v="sorvi2000@gmail.com"/>
    <x v="6"/>
    <n v="90"/>
    <n v="150"/>
    <n v="820"/>
    <n v="73800"/>
    <n v="123000"/>
    <n v="49200"/>
    <x v="0"/>
    <x v="1"/>
    <x v="9"/>
    <x v="2"/>
    <x v="0"/>
    <x v="9"/>
  </r>
  <r>
    <n v="10927"/>
    <x v="5"/>
    <s v="thomp@uk.com"/>
    <x v="0"/>
    <n v="150"/>
    <n v="200"/>
    <n v="854"/>
    <n v="128100"/>
    <n v="170800"/>
    <n v="42700"/>
    <x v="1"/>
    <x v="2"/>
    <x v="10"/>
    <x v="1"/>
    <x v="0"/>
    <x v="10"/>
  </r>
  <r>
    <n v="10928"/>
    <x v="4"/>
    <s v="andy@gmail.com"/>
    <x v="1"/>
    <n v="250"/>
    <n v="500"/>
    <n v="768"/>
    <n v="192000"/>
    <n v="384000"/>
    <n v="192000"/>
    <x v="2"/>
    <x v="3"/>
    <x v="11"/>
    <x v="0"/>
    <x v="1"/>
    <x v="11"/>
  </r>
  <r>
    <n v="10929"/>
    <x v="0"/>
    <s v="jard@gmail.com"/>
    <x v="2"/>
    <n v="180"/>
    <n v="450"/>
    <n v="786"/>
    <n v="141480"/>
    <n v="353700"/>
    <n v="212220"/>
    <x v="3"/>
    <x v="4"/>
    <x v="0"/>
    <x v="0"/>
    <x v="1"/>
    <x v="0"/>
  </r>
  <r>
    <n v="10930"/>
    <x v="0"/>
    <s v="jard@gmail.com"/>
    <x v="3"/>
    <n v="170"/>
    <n v="250"/>
    <n v="856"/>
    <n v="145520"/>
    <n v="214000"/>
    <n v="68480"/>
    <x v="4"/>
    <x v="5"/>
    <x v="1"/>
    <x v="0"/>
    <x v="1"/>
    <x v="1"/>
  </r>
  <r>
    <n v="10931"/>
    <x v="4"/>
    <s v="andy@gmail.com"/>
    <x v="4"/>
    <n v="150"/>
    <n v="200"/>
    <n v="919"/>
    <n v="137850"/>
    <n v="183800"/>
    <n v="45950"/>
    <x v="0"/>
    <x v="0"/>
    <x v="2"/>
    <x v="1"/>
    <x v="0"/>
    <x v="2"/>
  </r>
  <r>
    <n v="10932"/>
    <x v="3"/>
    <s v="jone.ai@yahoo.com"/>
    <x v="5"/>
    <n v="80"/>
    <n v="150"/>
    <n v="802"/>
    <n v="64160"/>
    <n v="120300"/>
    <n v="56140"/>
    <x v="1"/>
    <x v="1"/>
    <x v="3"/>
    <x v="0"/>
    <x v="0"/>
    <x v="3"/>
  </r>
  <r>
    <n v="10933"/>
    <x v="6"/>
    <s v="morganny@gmail.com"/>
    <x v="6"/>
    <n v="90"/>
    <n v="150"/>
    <n v="864"/>
    <n v="77760"/>
    <n v="129600"/>
    <n v="51840"/>
    <x v="2"/>
    <x v="2"/>
    <x v="4"/>
    <x v="2"/>
    <x v="1"/>
    <x v="4"/>
  </r>
  <r>
    <n v="10934"/>
    <x v="10"/>
    <s v="kivel_go@yahoo.com"/>
    <x v="0"/>
    <n v="150"/>
    <n v="200"/>
    <n v="993"/>
    <n v="148950"/>
    <n v="198600"/>
    <n v="49650"/>
    <x v="3"/>
    <x v="3"/>
    <x v="5"/>
    <x v="1"/>
    <x v="1"/>
    <x v="5"/>
  </r>
  <r>
    <n v="10935"/>
    <x v="2"/>
    <s v="sorvi2000@gmail.com"/>
    <x v="1"/>
    <n v="250"/>
    <n v="500"/>
    <n v="796"/>
    <n v="199000"/>
    <n v="398000"/>
    <n v="199000"/>
    <x v="4"/>
    <x v="4"/>
    <x v="6"/>
    <x v="2"/>
    <x v="1"/>
    <x v="6"/>
  </r>
  <r>
    <n v="10936"/>
    <x v="1"/>
    <s v="gillhell@uk.com"/>
    <x v="2"/>
    <n v="180"/>
    <n v="450"/>
    <n v="923"/>
    <n v="166140"/>
    <n v="415350"/>
    <n v="249210"/>
    <x v="0"/>
    <x v="5"/>
    <x v="7"/>
    <x v="0"/>
    <x v="0"/>
    <x v="7"/>
  </r>
  <r>
    <n v="10937"/>
    <x v="2"/>
    <s v="sorvi2000@gmail.com"/>
    <x v="3"/>
    <n v="170"/>
    <n v="250"/>
    <n v="990"/>
    <n v="168300"/>
    <n v="247500"/>
    <n v="79200"/>
    <x v="1"/>
    <x v="0"/>
    <x v="8"/>
    <x v="1"/>
    <x v="0"/>
    <x v="8"/>
  </r>
  <r>
    <n v="10938"/>
    <x v="5"/>
    <s v="thomp@uk.com"/>
    <x v="4"/>
    <n v="150"/>
    <n v="200"/>
    <n v="957"/>
    <n v="143550"/>
    <n v="191400"/>
    <n v="47850"/>
    <x v="2"/>
    <x v="1"/>
    <x v="9"/>
    <x v="2"/>
    <x v="1"/>
    <x v="9"/>
  </r>
  <r>
    <n v="10939"/>
    <x v="4"/>
    <s v="andy@gmail.com"/>
    <x v="5"/>
    <n v="80"/>
    <n v="150"/>
    <n v="836"/>
    <n v="66880"/>
    <n v="125400"/>
    <n v="58520"/>
    <x v="3"/>
    <x v="2"/>
    <x v="10"/>
    <x v="1"/>
    <x v="1"/>
    <x v="10"/>
  </r>
  <r>
    <n v="10940"/>
    <x v="0"/>
    <s v="jard@gmail.com"/>
    <x v="6"/>
    <n v="90"/>
    <n v="150"/>
    <n v="936"/>
    <n v="84240"/>
    <n v="140400"/>
    <n v="56160"/>
    <x v="4"/>
    <x v="3"/>
    <x v="11"/>
    <x v="0"/>
    <x v="1"/>
    <x v="11"/>
  </r>
  <r>
    <n v="10941"/>
    <x v="0"/>
    <s v="jard@gmail.com"/>
    <x v="0"/>
    <n v="150"/>
    <n v="200"/>
    <n v="924"/>
    <n v="138600"/>
    <n v="184800"/>
    <n v="46200"/>
    <x v="0"/>
    <x v="4"/>
    <x v="0"/>
    <x v="0"/>
    <x v="0"/>
    <x v="0"/>
  </r>
  <r>
    <n v="10942"/>
    <x v="4"/>
    <s v="andy@gmail.com"/>
    <x v="1"/>
    <n v="250"/>
    <n v="500"/>
    <n v="998"/>
    <n v="249500"/>
    <n v="499000"/>
    <n v="249500"/>
    <x v="1"/>
    <x v="5"/>
    <x v="1"/>
    <x v="2"/>
    <x v="0"/>
    <x v="1"/>
  </r>
  <r>
    <n v="10943"/>
    <x v="0"/>
    <s v="jard@gmail.com"/>
    <x v="2"/>
    <n v="180"/>
    <n v="450"/>
    <n v="862"/>
    <n v="155160"/>
    <n v="387900"/>
    <n v="232740"/>
    <x v="2"/>
    <x v="0"/>
    <x v="2"/>
    <x v="1"/>
    <x v="1"/>
    <x v="2"/>
  </r>
  <r>
    <n v="10944"/>
    <x v="1"/>
    <s v="gillhell@uk.com"/>
    <x v="3"/>
    <n v="170"/>
    <n v="250"/>
    <n v="963"/>
    <n v="163710"/>
    <n v="240750"/>
    <n v="77040"/>
    <x v="3"/>
    <x v="1"/>
    <x v="3"/>
    <x v="1"/>
    <x v="1"/>
    <x v="3"/>
  </r>
  <r>
    <n v="10945"/>
    <x v="2"/>
    <s v="sorvi2000@gmail.com"/>
    <x v="4"/>
    <n v="150"/>
    <n v="200"/>
    <n v="849"/>
    <n v="127350"/>
    <n v="169800"/>
    <n v="42450"/>
    <x v="4"/>
    <x v="2"/>
    <x v="4"/>
    <x v="2"/>
    <x v="1"/>
    <x v="4"/>
  </r>
  <r>
    <n v="10946"/>
    <x v="3"/>
    <s v="jone.ai@yahoo.com"/>
    <x v="5"/>
    <n v="80"/>
    <n v="150"/>
    <n v="938"/>
    <n v="75040"/>
    <n v="140700"/>
    <n v="65660"/>
    <x v="0"/>
    <x v="3"/>
    <x v="5"/>
    <x v="2"/>
    <x v="0"/>
    <x v="5"/>
  </r>
  <r>
    <n v="10947"/>
    <x v="4"/>
    <s v="andy@gmail.com"/>
    <x v="6"/>
    <n v="90"/>
    <n v="150"/>
    <n v="918"/>
    <n v="82620"/>
    <n v="137700"/>
    <n v="55080"/>
    <x v="1"/>
    <x v="4"/>
    <x v="6"/>
    <x v="1"/>
    <x v="0"/>
    <x v="6"/>
  </r>
  <r>
    <n v="10948"/>
    <x v="0"/>
    <s v="jard@gmail.com"/>
    <x v="0"/>
    <n v="150"/>
    <n v="200"/>
    <n v="728"/>
    <n v="109200"/>
    <n v="145600"/>
    <n v="36400"/>
    <x v="2"/>
    <x v="5"/>
    <x v="7"/>
    <x v="2"/>
    <x v="1"/>
    <x v="7"/>
  </r>
  <r>
    <n v="10949"/>
    <x v="5"/>
    <s v="thomp@uk.com"/>
    <x v="1"/>
    <n v="250"/>
    <n v="500"/>
    <n v="999"/>
    <n v="249750"/>
    <n v="499500"/>
    <n v="249750"/>
    <x v="3"/>
    <x v="0"/>
    <x v="8"/>
    <x v="0"/>
    <x v="1"/>
    <x v="8"/>
  </r>
  <r>
    <n v="10950"/>
    <x v="3"/>
    <s v="jone.ai@yahoo.com"/>
    <x v="2"/>
    <n v="180"/>
    <n v="450"/>
    <n v="888"/>
    <n v="159840"/>
    <n v="399600"/>
    <n v="239760"/>
    <x v="4"/>
    <x v="1"/>
    <x v="9"/>
    <x v="1"/>
    <x v="1"/>
    <x v="9"/>
  </r>
  <r>
    <n v="10951"/>
    <x v="6"/>
    <s v="morganny@gmail.com"/>
    <x v="3"/>
    <n v="170"/>
    <n v="250"/>
    <n v="746"/>
    <n v="126820"/>
    <n v="186500"/>
    <n v="59680"/>
    <x v="0"/>
    <x v="2"/>
    <x v="10"/>
    <x v="1"/>
    <x v="0"/>
    <x v="10"/>
  </r>
  <r>
    <n v="10952"/>
    <x v="7"/>
    <s v="howard_freeman@yahoo.com"/>
    <x v="4"/>
    <n v="150"/>
    <n v="200"/>
    <n v="989"/>
    <n v="148350"/>
    <n v="197800"/>
    <n v="49450"/>
    <x v="1"/>
    <x v="3"/>
    <x v="11"/>
    <x v="2"/>
    <x v="0"/>
    <x v="11"/>
  </r>
  <r>
    <n v="10953"/>
    <x v="8"/>
    <s v="parentty@uk.com"/>
    <x v="5"/>
    <n v="80"/>
    <n v="150"/>
    <n v="948"/>
    <n v="75840"/>
    <n v="142200"/>
    <n v="66360"/>
    <x v="2"/>
    <x v="4"/>
    <x v="0"/>
    <x v="0"/>
    <x v="1"/>
    <x v="0"/>
  </r>
  <r>
    <n v="10954"/>
    <x v="3"/>
    <s v="jone.ai@yahoo.com"/>
    <x v="6"/>
    <n v="90"/>
    <n v="150"/>
    <n v="919"/>
    <n v="82710"/>
    <n v="137850"/>
    <n v="55140"/>
    <x v="3"/>
    <x v="5"/>
    <x v="1"/>
    <x v="0"/>
    <x v="1"/>
    <x v="1"/>
  </r>
  <r>
    <n v="10955"/>
    <x v="9"/>
    <s v="smithMan@yahoo.com"/>
    <x v="0"/>
    <n v="150"/>
    <n v="200"/>
    <n v="887"/>
    <n v="133050"/>
    <n v="177400"/>
    <n v="44350"/>
    <x v="4"/>
    <x v="0"/>
    <x v="2"/>
    <x v="2"/>
    <x v="1"/>
    <x v="2"/>
  </r>
  <r>
    <n v="10956"/>
    <x v="3"/>
    <s v="jone.ai@yahoo.com"/>
    <x v="1"/>
    <n v="250"/>
    <n v="500"/>
    <n v="784"/>
    <n v="196000"/>
    <n v="392000"/>
    <n v="196000"/>
    <x v="0"/>
    <x v="1"/>
    <x v="3"/>
    <x v="0"/>
    <x v="0"/>
    <x v="3"/>
  </r>
  <r>
    <n v="10957"/>
    <x v="0"/>
    <s v="jard@gmail.com"/>
    <x v="2"/>
    <n v="180"/>
    <n v="450"/>
    <n v="795"/>
    <n v="143100"/>
    <n v="357750"/>
    <n v="214650"/>
    <x v="1"/>
    <x v="2"/>
    <x v="4"/>
    <x v="2"/>
    <x v="0"/>
    <x v="4"/>
  </r>
  <r>
    <n v="10958"/>
    <x v="1"/>
    <s v="gillhell@uk.com"/>
    <x v="3"/>
    <n v="170"/>
    <n v="250"/>
    <n v="948"/>
    <n v="161160"/>
    <n v="237000"/>
    <n v="75840"/>
    <x v="2"/>
    <x v="3"/>
    <x v="5"/>
    <x v="0"/>
    <x v="1"/>
    <x v="5"/>
  </r>
  <r>
    <n v="10959"/>
    <x v="2"/>
    <s v="sorvi2000@gmail.com"/>
    <x v="4"/>
    <n v="150"/>
    <n v="200"/>
    <n v="787"/>
    <n v="118050"/>
    <n v="157400"/>
    <n v="39350"/>
    <x v="3"/>
    <x v="4"/>
    <x v="6"/>
    <x v="0"/>
    <x v="1"/>
    <x v="6"/>
  </r>
  <r>
    <n v="10960"/>
    <x v="3"/>
    <s v="jone.ai@yahoo.com"/>
    <x v="5"/>
    <n v="80"/>
    <n v="150"/>
    <n v="977"/>
    <n v="78160"/>
    <n v="146550"/>
    <n v="68390"/>
    <x v="4"/>
    <x v="5"/>
    <x v="7"/>
    <x v="1"/>
    <x v="1"/>
    <x v="7"/>
  </r>
  <r>
    <n v="10961"/>
    <x v="4"/>
    <s v="andy@gmail.com"/>
    <x v="6"/>
    <n v="90"/>
    <n v="150"/>
    <n v="955"/>
    <n v="85950"/>
    <n v="143250"/>
    <n v="57300"/>
    <x v="0"/>
    <x v="0"/>
    <x v="8"/>
    <x v="2"/>
    <x v="0"/>
    <x v="8"/>
  </r>
  <r>
    <n v="10962"/>
    <x v="0"/>
    <s v="jard@gmail.com"/>
    <x v="0"/>
    <n v="150"/>
    <n v="200"/>
    <n v="955"/>
    <n v="143250"/>
    <n v="191000"/>
    <n v="47750"/>
    <x v="1"/>
    <x v="1"/>
    <x v="9"/>
    <x v="1"/>
    <x v="0"/>
    <x v="9"/>
  </r>
  <r>
    <n v="10963"/>
    <x v="5"/>
    <s v="thomp@uk.com"/>
    <x v="1"/>
    <n v="250"/>
    <n v="500"/>
    <n v="765"/>
    <n v="191250"/>
    <n v="382500"/>
    <n v="191250"/>
    <x v="2"/>
    <x v="2"/>
    <x v="10"/>
    <x v="2"/>
    <x v="1"/>
    <x v="10"/>
  </r>
  <r>
    <n v="10964"/>
    <x v="3"/>
    <s v="jone.ai@yahoo.com"/>
    <x v="2"/>
    <n v="180"/>
    <n v="450"/>
    <n v="887"/>
    <n v="159660"/>
    <n v="399150"/>
    <n v="239490"/>
    <x v="3"/>
    <x v="3"/>
    <x v="11"/>
    <x v="0"/>
    <x v="1"/>
    <x v="11"/>
  </r>
  <r>
    <n v="10965"/>
    <x v="6"/>
    <s v="morganny@gmail.com"/>
    <x v="3"/>
    <n v="170"/>
    <n v="250"/>
    <n v="729"/>
    <n v="123930"/>
    <n v="182250"/>
    <n v="58320"/>
    <x v="4"/>
    <x v="4"/>
    <x v="0"/>
    <x v="0"/>
    <x v="1"/>
    <x v="0"/>
  </r>
  <r>
    <n v="10966"/>
    <x v="7"/>
    <s v="howard_freeman@yahoo.com"/>
    <x v="4"/>
    <n v="150"/>
    <n v="200"/>
    <n v="836"/>
    <n v="125400"/>
    <n v="167200"/>
    <n v="41800"/>
    <x v="0"/>
    <x v="5"/>
    <x v="1"/>
    <x v="0"/>
    <x v="0"/>
    <x v="1"/>
  </r>
  <r>
    <n v="10967"/>
    <x v="8"/>
    <s v="parentty@uk.com"/>
    <x v="5"/>
    <n v="80"/>
    <n v="150"/>
    <n v="797"/>
    <n v="63760"/>
    <n v="119550"/>
    <n v="55790"/>
    <x v="1"/>
    <x v="0"/>
    <x v="2"/>
    <x v="1"/>
    <x v="0"/>
    <x v="2"/>
  </r>
  <r>
    <n v="10968"/>
    <x v="3"/>
    <s v="jone.ai@yahoo.com"/>
    <x v="6"/>
    <n v="90"/>
    <n v="150"/>
    <n v="791"/>
    <n v="71190"/>
    <n v="118650"/>
    <n v="47460"/>
    <x v="2"/>
    <x v="1"/>
    <x v="3"/>
    <x v="0"/>
    <x v="1"/>
    <x v="3"/>
  </r>
  <r>
    <n v="10969"/>
    <x v="9"/>
    <s v="smithMan@yahoo.com"/>
    <x v="0"/>
    <n v="150"/>
    <n v="200"/>
    <n v="773"/>
    <n v="115950"/>
    <n v="154600"/>
    <n v="38650"/>
    <x v="3"/>
    <x v="2"/>
    <x v="4"/>
    <x v="1"/>
    <x v="1"/>
    <x v="4"/>
  </r>
  <r>
    <n v="10970"/>
    <x v="3"/>
    <s v="jone.ai@yahoo.com"/>
    <x v="1"/>
    <n v="250"/>
    <n v="500"/>
    <n v="767"/>
    <n v="191750"/>
    <n v="383500"/>
    <n v="191750"/>
    <x v="4"/>
    <x v="3"/>
    <x v="5"/>
    <x v="2"/>
    <x v="1"/>
    <x v="5"/>
  </r>
  <r>
    <n v="10971"/>
    <x v="6"/>
    <s v="morganny@gmail.com"/>
    <x v="2"/>
    <n v="180"/>
    <n v="450"/>
    <n v="939"/>
    <n v="169020"/>
    <n v="422550"/>
    <n v="253530"/>
    <x v="0"/>
    <x v="4"/>
    <x v="6"/>
    <x v="0"/>
    <x v="0"/>
    <x v="6"/>
  </r>
  <r>
    <n v="10972"/>
    <x v="3"/>
    <s v="jone.ai@yahoo.com"/>
    <x v="3"/>
    <n v="170"/>
    <n v="250"/>
    <n v="832"/>
    <n v="141440"/>
    <n v="208000"/>
    <n v="66560"/>
    <x v="1"/>
    <x v="5"/>
    <x v="7"/>
    <x v="1"/>
    <x v="0"/>
    <x v="7"/>
  </r>
  <r>
    <n v="10973"/>
    <x v="8"/>
    <s v="parentty@uk.com"/>
    <x v="4"/>
    <n v="150"/>
    <n v="200"/>
    <n v="768"/>
    <n v="115200"/>
    <n v="153600"/>
    <n v="38400"/>
    <x v="2"/>
    <x v="0"/>
    <x v="8"/>
    <x v="1"/>
    <x v="1"/>
    <x v="8"/>
  </r>
  <r>
    <n v="10974"/>
    <x v="10"/>
    <s v="kivel_go@yahoo.com"/>
    <x v="5"/>
    <n v="80"/>
    <n v="150"/>
    <n v="958"/>
    <n v="76640"/>
    <n v="143700"/>
    <n v="67060"/>
    <x v="3"/>
    <x v="1"/>
    <x v="9"/>
    <x v="2"/>
    <x v="1"/>
    <x v="9"/>
  </r>
  <r>
    <n v="10975"/>
    <x v="9"/>
    <s v="smithMan@yahoo.com"/>
    <x v="6"/>
    <n v="90"/>
    <n v="150"/>
    <n v="958"/>
    <n v="86220"/>
    <n v="143700"/>
    <n v="57480"/>
    <x v="4"/>
    <x v="2"/>
    <x v="10"/>
    <x v="1"/>
    <x v="1"/>
    <x v="10"/>
  </r>
  <r>
    <n v="10976"/>
    <x v="8"/>
    <s v="parentty@uk.com"/>
    <x v="0"/>
    <n v="150"/>
    <n v="200"/>
    <n v="927"/>
    <n v="139050"/>
    <n v="185400"/>
    <n v="46350"/>
    <x v="0"/>
    <x v="3"/>
    <x v="11"/>
    <x v="0"/>
    <x v="0"/>
    <x v="11"/>
  </r>
  <r>
    <n v="10977"/>
    <x v="1"/>
    <s v="gillhell@uk.com"/>
    <x v="1"/>
    <n v="250"/>
    <n v="500"/>
    <n v="919"/>
    <n v="229750"/>
    <n v="459500"/>
    <n v="229750"/>
    <x v="1"/>
    <x v="4"/>
    <x v="0"/>
    <x v="0"/>
    <x v="0"/>
    <x v="0"/>
  </r>
  <r>
    <n v="10978"/>
    <x v="9"/>
    <s v="smithMan@yahoo.com"/>
    <x v="2"/>
    <n v="180"/>
    <n v="450"/>
    <n v="830"/>
    <n v="149400"/>
    <n v="373500"/>
    <n v="224100"/>
    <x v="2"/>
    <x v="5"/>
    <x v="1"/>
    <x v="1"/>
    <x v="1"/>
    <x v="1"/>
  </r>
  <r>
    <n v="10979"/>
    <x v="3"/>
    <s v="jone.ai@yahoo.com"/>
    <x v="3"/>
    <n v="170"/>
    <n v="250"/>
    <n v="874"/>
    <n v="148580"/>
    <n v="218500"/>
    <n v="69920"/>
    <x v="3"/>
    <x v="0"/>
    <x v="2"/>
    <x v="1"/>
    <x v="1"/>
    <x v="2"/>
  </r>
  <r>
    <n v="10980"/>
    <x v="2"/>
    <s v="sorvi2000@gmail.com"/>
    <x v="4"/>
    <n v="150"/>
    <n v="200"/>
    <n v="954"/>
    <n v="143100"/>
    <n v="190800"/>
    <n v="47700"/>
    <x v="4"/>
    <x v="1"/>
    <x v="3"/>
    <x v="2"/>
    <x v="1"/>
    <x v="3"/>
  </r>
  <r>
    <n v="10981"/>
    <x v="0"/>
    <s v="jard@gmail.com"/>
    <x v="5"/>
    <n v="80"/>
    <n v="150"/>
    <n v="919"/>
    <n v="73520"/>
    <n v="137850"/>
    <n v="64330"/>
    <x v="0"/>
    <x v="2"/>
    <x v="4"/>
    <x v="2"/>
    <x v="0"/>
    <x v="4"/>
  </r>
  <r>
    <n v="10982"/>
    <x v="4"/>
    <s v="andy@gmail.com"/>
    <x v="6"/>
    <n v="90"/>
    <n v="150"/>
    <n v="796"/>
    <n v="71640"/>
    <n v="119400"/>
    <n v="47760"/>
    <x v="1"/>
    <x v="3"/>
    <x v="5"/>
    <x v="2"/>
    <x v="0"/>
    <x v="5"/>
  </r>
  <r>
    <n v="10983"/>
    <x v="7"/>
    <s v="howard_freeman@yahoo.com"/>
    <x v="0"/>
    <n v="150"/>
    <n v="200"/>
    <n v="773"/>
    <n v="115950"/>
    <n v="154600"/>
    <n v="38650"/>
    <x v="2"/>
    <x v="4"/>
    <x v="6"/>
    <x v="2"/>
    <x v="1"/>
    <x v="6"/>
  </r>
  <r>
    <n v="10984"/>
    <x v="1"/>
    <s v="gillhell@uk.com"/>
    <x v="1"/>
    <n v="250"/>
    <n v="500"/>
    <n v="891"/>
    <n v="222750"/>
    <n v="445500"/>
    <n v="222750"/>
    <x v="3"/>
    <x v="5"/>
    <x v="7"/>
    <x v="1"/>
    <x v="1"/>
    <x v="7"/>
  </r>
  <r>
    <n v="10985"/>
    <x v="1"/>
    <s v="gillhell@uk.com"/>
    <x v="2"/>
    <n v="180"/>
    <n v="450"/>
    <n v="778"/>
    <n v="140040"/>
    <n v="350100"/>
    <n v="210060"/>
    <x v="4"/>
    <x v="0"/>
    <x v="8"/>
    <x v="2"/>
    <x v="1"/>
    <x v="8"/>
  </r>
  <r>
    <n v="10986"/>
    <x v="10"/>
    <s v="kivel_go@yahoo.com"/>
    <x v="3"/>
    <n v="170"/>
    <n v="250"/>
    <n v="950"/>
    <n v="161500"/>
    <n v="237500"/>
    <n v="76000"/>
    <x v="0"/>
    <x v="1"/>
    <x v="9"/>
    <x v="1"/>
    <x v="0"/>
    <x v="9"/>
  </r>
  <r>
    <n v="10987"/>
    <x v="3"/>
    <s v="jone.ai@yahoo.com"/>
    <x v="4"/>
    <n v="150"/>
    <n v="200"/>
    <n v="840"/>
    <n v="126000"/>
    <n v="168000"/>
    <n v="42000"/>
    <x v="1"/>
    <x v="2"/>
    <x v="10"/>
    <x v="2"/>
    <x v="0"/>
    <x v="10"/>
  </r>
  <r>
    <n v="10988"/>
    <x v="6"/>
    <s v="morganny@gmail.com"/>
    <x v="5"/>
    <n v="80"/>
    <n v="150"/>
    <n v="821"/>
    <n v="65680"/>
    <n v="123150"/>
    <n v="57470"/>
    <x v="2"/>
    <x v="3"/>
    <x v="11"/>
    <x v="2"/>
    <x v="1"/>
    <x v="11"/>
  </r>
  <r>
    <n v="10989"/>
    <x v="10"/>
    <s v="kivel_go@yahoo.com"/>
    <x v="6"/>
    <n v="90"/>
    <n v="150"/>
    <n v="720"/>
    <n v="64800"/>
    <n v="108000"/>
    <n v="43200"/>
    <x v="3"/>
    <x v="4"/>
    <x v="0"/>
    <x v="2"/>
    <x v="1"/>
    <x v="0"/>
  </r>
  <r>
    <n v="10990"/>
    <x v="2"/>
    <s v="sorvi2000@gmail.com"/>
    <x v="0"/>
    <n v="150"/>
    <n v="200"/>
    <n v="706"/>
    <n v="105900"/>
    <n v="141200"/>
    <n v="35300"/>
    <x v="4"/>
    <x v="5"/>
    <x v="1"/>
    <x v="0"/>
    <x v="1"/>
    <x v="1"/>
  </r>
  <r>
    <n v="10991"/>
    <x v="1"/>
    <s v="gillhell@uk.com"/>
    <x v="1"/>
    <n v="250"/>
    <n v="500"/>
    <n v="827"/>
    <n v="206750"/>
    <n v="413500"/>
    <n v="206750"/>
    <x v="0"/>
    <x v="0"/>
    <x v="2"/>
    <x v="1"/>
    <x v="0"/>
    <x v="2"/>
  </r>
  <r>
    <n v="10992"/>
    <x v="2"/>
    <s v="sorvi2000@gmail.com"/>
    <x v="2"/>
    <n v="180"/>
    <n v="450"/>
    <n v="792"/>
    <n v="142560"/>
    <n v="356400"/>
    <n v="213840"/>
    <x v="1"/>
    <x v="1"/>
    <x v="3"/>
    <x v="2"/>
    <x v="0"/>
    <x v="3"/>
  </r>
  <r>
    <n v="10993"/>
    <x v="5"/>
    <s v="thomp@uk.com"/>
    <x v="3"/>
    <n v="170"/>
    <n v="250"/>
    <n v="885"/>
    <n v="150450"/>
    <n v="221250"/>
    <n v="70800"/>
    <x v="2"/>
    <x v="2"/>
    <x v="4"/>
    <x v="2"/>
    <x v="1"/>
    <x v="4"/>
  </r>
  <r>
    <n v="10994"/>
    <x v="4"/>
    <s v="andy@gmail.com"/>
    <x v="4"/>
    <n v="150"/>
    <n v="200"/>
    <n v="973"/>
    <n v="145950"/>
    <n v="194600"/>
    <n v="48650"/>
    <x v="3"/>
    <x v="3"/>
    <x v="5"/>
    <x v="0"/>
    <x v="1"/>
    <x v="5"/>
  </r>
  <r>
    <n v="10995"/>
    <x v="0"/>
    <s v="jard@gmail.com"/>
    <x v="5"/>
    <n v="80"/>
    <n v="150"/>
    <n v="977"/>
    <n v="78160"/>
    <n v="146550"/>
    <n v="68390"/>
    <x v="4"/>
    <x v="4"/>
    <x v="6"/>
    <x v="2"/>
    <x v="1"/>
    <x v="6"/>
  </r>
  <r>
    <n v="10996"/>
    <x v="0"/>
    <s v="jard@gmail.com"/>
    <x v="6"/>
    <n v="90"/>
    <n v="150"/>
    <n v="873"/>
    <n v="78570"/>
    <n v="130950"/>
    <n v="52380"/>
    <x v="0"/>
    <x v="5"/>
    <x v="7"/>
    <x v="0"/>
    <x v="0"/>
    <x v="7"/>
  </r>
  <r>
    <n v="10997"/>
    <x v="4"/>
    <s v="andy@gmail.com"/>
    <x v="0"/>
    <n v="150"/>
    <n v="200"/>
    <n v="932"/>
    <n v="139800"/>
    <n v="186400"/>
    <n v="46600"/>
    <x v="1"/>
    <x v="0"/>
    <x v="8"/>
    <x v="2"/>
    <x v="0"/>
    <x v="8"/>
  </r>
  <r>
    <n v="10998"/>
    <x v="0"/>
    <s v="jard@gmail.com"/>
    <x v="1"/>
    <n v="250"/>
    <n v="500"/>
    <n v="701"/>
    <n v="175250"/>
    <n v="350500"/>
    <n v="175250"/>
    <x v="2"/>
    <x v="1"/>
    <x v="9"/>
    <x v="1"/>
    <x v="1"/>
    <x v="9"/>
  </r>
  <r>
    <n v="10999"/>
    <x v="1"/>
    <s v="gillhell@uk.com"/>
    <x v="2"/>
    <n v="180"/>
    <n v="450"/>
    <n v="977"/>
    <n v="175860"/>
    <n v="439650"/>
    <n v="263790"/>
    <x v="3"/>
    <x v="2"/>
    <x v="10"/>
    <x v="2"/>
    <x v="1"/>
    <x v="10"/>
  </r>
  <r>
    <n v="11000"/>
    <x v="2"/>
    <s v="sorvi2000@gmail.com"/>
    <x v="3"/>
    <n v="170"/>
    <n v="250"/>
    <n v="977"/>
    <n v="166090"/>
    <n v="244250"/>
    <n v="78160"/>
    <x v="4"/>
    <x v="3"/>
    <x v="11"/>
    <x v="2"/>
    <x v="1"/>
    <x v="11"/>
  </r>
  <r>
    <n v="11001"/>
    <x v="3"/>
    <s v="jone.ai@yahoo.com"/>
    <x v="4"/>
    <n v="150"/>
    <n v="200"/>
    <n v="952"/>
    <n v="142800"/>
    <n v="190400"/>
    <n v="47600"/>
    <x v="0"/>
    <x v="4"/>
    <x v="0"/>
    <x v="0"/>
    <x v="0"/>
    <x v="0"/>
  </r>
  <r>
    <n v="11002"/>
    <x v="4"/>
    <s v="andy@gmail.com"/>
    <x v="5"/>
    <n v="80"/>
    <n v="150"/>
    <n v="750"/>
    <n v="60000"/>
    <n v="112500"/>
    <n v="52500"/>
    <x v="1"/>
    <x v="5"/>
    <x v="1"/>
    <x v="1"/>
    <x v="0"/>
    <x v="1"/>
  </r>
  <r>
    <n v="11003"/>
    <x v="0"/>
    <s v="jard@gmail.com"/>
    <x v="6"/>
    <n v="90"/>
    <n v="150"/>
    <n v="961"/>
    <n v="86490"/>
    <n v="144150"/>
    <n v="57660"/>
    <x v="2"/>
    <x v="0"/>
    <x v="2"/>
    <x v="2"/>
    <x v="1"/>
    <x v="2"/>
  </r>
  <r>
    <n v="11004"/>
    <x v="5"/>
    <s v="thomp@uk.com"/>
    <x v="0"/>
    <n v="150"/>
    <n v="200"/>
    <n v="702"/>
    <n v="105300"/>
    <n v="140400"/>
    <n v="35100"/>
    <x v="3"/>
    <x v="1"/>
    <x v="3"/>
    <x v="1"/>
    <x v="1"/>
    <x v="3"/>
  </r>
  <r>
    <n v="11005"/>
    <x v="3"/>
    <s v="jone.ai@yahoo.com"/>
    <x v="1"/>
    <n v="250"/>
    <n v="500"/>
    <n v="984"/>
    <n v="246000"/>
    <n v="492000"/>
    <n v="246000"/>
    <x v="4"/>
    <x v="2"/>
    <x v="4"/>
    <x v="2"/>
    <x v="1"/>
    <x v="4"/>
  </r>
  <r>
    <n v="11006"/>
    <x v="6"/>
    <s v="morganny@gmail.com"/>
    <x v="2"/>
    <n v="180"/>
    <n v="450"/>
    <n v="861"/>
    <n v="154980"/>
    <n v="387450"/>
    <n v="232470"/>
    <x v="0"/>
    <x v="3"/>
    <x v="5"/>
    <x v="2"/>
    <x v="0"/>
    <x v="5"/>
  </r>
  <r>
    <n v="11007"/>
    <x v="7"/>
    <s v="howard_freeman@yahoo.com"/>
    <x v="3"/>
    <n v="170"/>
    <n v="250"/>
    <n v="984"/>
    <n v="167280"/>
    <n v="246000"/>
    <n v="78720"/>
    <x v="1"/>
    <x v="4"/>
    <x v="6"/>
    <x v="0"/>
    <x v="0"/>
    <x v="6"/>
  </r>
  <r>
    <n v="11008"/>
    <x v="8"/>
    <s v="parentty@uk.com"/>
    <x v="4"/>
    <n v="150"/>
    <n v="200"/>
    <n v="760"/>
    <n v="114000"/>
    <n v="152000"/>
    <n v="38000"/>
    <x v="2"/>
    <x v="5"/>
    <x v="7"/>
    <x v="1"/>
    <x v="1"/>
    <x v="7"/>
  </r>
  <r>
    <n v="11009"/>
    <x v="3"/>
    <s v="jone.ai@yahoo.com"/>
    <x v="5"/>
    <n v="80"/>
    <n v="150"/>
    <n v="849"/>
    <n v="67920"/>
    <n v="127350"/>
    <n v="59430"/>
    <x v="3"/>
    <x v="0"/>
    <x v="8"/>
    <x v="0"/>
    <x v="1"/>
    <x v="8"/>
  </r>
  <r>
    <n v="11010"/>
    <x v="9"/>
    <s v="smithMan@yahoo.com"/>
    <x v="6"/>
    <n v="90"/>
    <n v="150"/>
    <n v="728"/>
    <n v="65520"/>
    <n v="109200"/>
    <n v="43680"/>
    <x v="4"/>
    <x v="1"/>
    <x v="9"/>
    <x v="2"/>
    <x v="1"/>
    <x v="9"/>
  </r>
  <r>
    <n v="11011"/>
    <x v="3"/>
    <s v="jone.ai@yahoo.com"/>
    <x v="0"/>
    <n v="150"/>
    <n v="200"/>
    <n v="842"/>
    <n v="126300"/>
    <n v="168400"/>
    <n v="42100"/>
    <x v="0"/>
    <x v="2"/>
    <x v="10"/>
    <x v="0"/>
    <x v="0"/>
    <x v="10"/>
  </r>
  <r>
    <n v="11012"/>
    <x v="6"/>
    <s v="morganny@gmail.com"/>
    <x v="1"/>
    <n v="250"/>
    <n v="500"/>
    <n v="966"/>
    <n v="241500"/>
    <n v="483000"/>
    <n v="241500"/>
    <x v="1"/>
    <x v="3"/>
    <x v="11"/>
    <x v="2"/>
    <x v="0"/>
    <x v="11"/>
  </r>
  <r>
    <n v="11013"/>
    <x v="3"/>
    <s v="jone.ai@yahoo.com"/>
    <x v="2"/>
    <n v="180"/>
    <n v="450"/>
    <n v="732"/>
    <n v="131760"/>
    <n v="329400"/>
    <n v="197640"/>
    <x v="2"/>
    <x v="4"/>
    <x v="0"/>
    <x v="2"/>
    <x v="1"/>
    <x v="0"/>
  </r>
  <r>
    <n v="11014"/>
    <x v="8"/>
    <s v="parentty@uk.com"/>
    <x v="3"/>
    <n v="170"/>
    <n v="250"/>
    <n v="996"/>
    <n v="169320"/>
    <n v="249000"/>
    <n v="79680"/>
    <x v="3"/>
    <x v="5"/>
    <x v="1"/>
    <x v="1"/>
    <x v="1"/>
    <x v="1"/>
  </r>
  <r>
    <n v="11015"/>
    <x v="10"/>
    <s v="kivel_go@yahoo.com"/>
    <x v="4"/>
    <n v="150"/>
    <n v="200"/>
    <n v="770"/>
    <n v="115500"/>
    <n v="154000"/>
    <n v="38500"/>
    <x v="4"/>
    <x v="0"/>
    <x v="2"/>
    <x v="0"/>
    <x v="1"/>
    <x v="2"/>
  </r>
  <r>
    <n v="11016"/>
    <x v="9"/>
    <s v="smithMan@yahoo.com"/>
    <x v="5"/>
    <n v="80"/>
    <n v="150"/>
    <n v="785"/>
    <n v="62800"/>
    <n v="117750"/>
    <n v="54950"/>
    <x v="0"/>
    <x v="1"/>
    <x v="3"/>
    <x v="2"/>
    <x v="0"/>
    <x v="3"/>
  </r>
  <r>
    <n v="11017"/>
    <x v="8"/>
    <s v="parentty@uk.com"/>
    <x v="6"/>
    <n v="90"/>
    <n v="150"/>
    <n v="891"/>
    <n v="80190"/>
    <n v="133650"/>
    <n v="53460"/>
    <x v="1"/>
    <x v="2"/>
    <x v="4"/>
    <x v="2"/>
    <x v="0"/>
    <x v="4"/>
  </r>
  <r>
    <n v="11018"/>
    <x v="1"/>
    <s v="gillhell@uk.com"/>
    <x v="0"/>
    <n v="150"/>
    <n v="200"/>
    <n v="793"/>
    <n v="118950"/>
    <n v="158600"/>
    <n v="39650"/>
    <x v="2"/>
    <x v="3"/>
    <x v="5"/>
    <x v="0"/>
    <x v="1"/>
    <x v="5"/>
  </r>
  <r>
    <n v="11019"/>
    <x v="9"/>
    <s v="smithMan@yahoo.com"/>
    <x v="1"/>
    <n v="250"/>
    <n v="500"/>
    <n v="893"/>
    <n v="223250"/>
    <n v="446500"/>
    <n v="223250"/>
    <x v="3"/>
    <x v="4"/>
    <x v="6"/>
    <x v="0"/>
    <x v="1"/>
    <x v="6"/>
  </r>
  <r>
    <n v="11020"/>
    <x v="3"/>
    <s v="jone.ai@yahoo.com"/>
    <x v="2"/>
    <n v="180"/>
    <n v="450"/>
    <n v="880"/>
    <n v="158400"/>
    <n v="396000"/>
    <n v="237600"/>
    <x v="4"/>
    <x v="5"/>
    <x v="7"/>
    <x v="2"/>
    <x v="1"/>
    <x v="7"/>
  </r>
  <r>
    <n v="11021"/>
    <x v="2"/>
    <s v="sorvi2000@gmail.com"/>
    <x v="3"/>
    <n v="170"/>
    <n v="250"/>
    <n v="921"/>
    <n v="156570"/>
    <n v="230250"/>
    <n v="73680"/>
    <x v="0"/>
    <x v="0"/>
    <x v="8"/>
    <x v="2"/>
    <x v="0"/>
    <x v="8"/>
  </r>
  <r>
    <n v="11022"/>
    <x v="0"/>
    <s v="jard@gmail.com"/>
    <x v="4"/>
    <n v="150"/>
    <n v="200"/>
    <n v="851"/>
    <n v="127650"/>
    <n v="170200"/>
    <n v="42550"/>
    <x v="1"/>
    <x v="1"/>
    <x v="9"/>
    <x v="0"/>
    <x v="0"/>
    <x v="9"/>
  </r>
  <r>
    <n v="11023"/>
    <x v="4"/>
    <s v="andy@gmail.com"/>
    <x v="5"/>
    <n v="80"/>
    <n v="150"/>
    <n v="860"/>
    <n v="68800"/>
    <n v="129000"/>
    <n v="60200"/>
    <x v="2"/>
    <x v="2"/>
    <x v="10"/>
    <x v="1"/>
    <x v="1"/>
    <x v="10"/>
  </r>
  <r>
    <n v="11024"/>
    <x v="7"/>
    <s v="howard_freeman@yahoo.com"/>
    <x v="6"/>
    <n v="90"/>
    <n v="150"/>
    <n v="818"/>
    <n v="73620"/>
    <n v="122700"/>
    <n v="49080"/>
    <x v="3"/>
    <x v="3"/>
    <x v="11"/>
    <x v="1"/>
    <x v="1"/>
    <x v="11"/>
  </r>
  <r>
    <n v="11025"/>
    <x v="1"/>
    <s v="gillhell@uk.com"/>
    <x v="0"/>
    <n v="150"/>
    <n v="200"/>
    <n v="906"/>
    <n v="135900"/>
    <n v="181200"/>
    <n v="45300"/>
    <x v="4"/>
    <x v="4"/>
    <x v="0"/>
    <x v="2"/>
    <x v="1"/>
    <x v="0"/>
  </r>
  <r>
    <n v="11026"/>
    <x v="1"/>
    <s v="gillhell@uk.com"/>
    <x v="1"/>
    <n v="250"/>
    <n v="500"/>
    <n v="810"/>
    <n v="202500"/>
    <n v="405000"/>
    <n v="202500"/>
    <x v="0"/>
    <x v="5"/>
    <x v="1"/>
    <x v="2"/>
    <x v="0"/>
    <x v="1"/>
  </r>
  <r>
    <n v="11027"/>
    <x v="10"/>
    <s v="kivel_go@yahoo.com"/>
    <x v="2"/>
    <n v="180"/>
    <n v="450"/>
    <n v="847"/>
    <n v="152460"/>
    <n v="381150"/>
    <n v="228690"/>
    <x v="1"/>
    <x v="0"/>
    <x v="2"/>
    <x v="0"/>
    <x v="0"/>
    <x v="2"/>
  </r>
  <r>
    <n v="11028"/>
    <x v="3"/>
    <s v="jone.ai@yahoo.com"/>
    <x v="3"/>
    <n v="170"/>
    <n v="250"/>
    <n v="703"/>
    <n v="119510"/>
    <n v="175750"/>
    <n v="56240"/>
    <x v="2"/>
    <x v="1"/>
    <x v="3"/>
    <x v="2"/>
    <x v="1"/>
    <x v="3"/>
  </r>
  <r>
    <n v="11029"/>
    <x v="6"/>
    <s v="morganny@gmail.com"/>
    <x v="4"/>
    <n v="150"/>
    <n v="200"/>
    <n v="716"/>
    <n v="107400"/>
    <n v="143200"/>
    <n v="35800"/>
    <x v="3"/>
    <x v="2"/>
    <x v="4"/>
    <x v="1"/>
    <x v="1"/>
    <x v="4"/>
  </r>
  <r>
    <n v="11030"/>
    <x v="10"/>
    <s v="kivel_go@yahoo.com"/>
    <x v="5"/>
    <n v="80"/>
    <n v="150"/>
    <n v="895"/>
    <n v="71600"/>
    <n v="134250"/>
    <n v="62650"/>
    <x v="4"/>
    <x v="3"/>
    <x v="5"/>
    <x v="0"/>
    <x v="1"/>
    <x v="5"/>
  </r>
  <r>
    <n v="11031"/>
    <x v="2"/>
    <s v="sorvi2000@gmail.com"/>
    <x v="6"/>
    <n v="90"/>
    <n v="150"/>
    <n v="981"/>
    <n v="88290"/>
    <n v="147150"/>
    <n v="58860"/>
    <x v="0"/>
    <x v="4"/>
    <x v="6"/>
    <x v="0"/>
    <x v="0"/>
    <x v="6"/>
  </r>
  <r>
    <n v="11032"/>
    <x v="1"/>
    <s v="gillhell@uk.com"/>
    <x v="0"/>
    <n v="150"/>
    <n v="200"/>
    <n v="799"/>
    <n v="119850"/>
    <n v="159800"/>
    <n v="39950"/>
    <x v="1"/>
    <x v="5"/>
    <x v="7"/>
    <x v="1"/>
    <x v="0"/>
    <x v="7"/>
  </r>
  <r>
    <n v="11033"/>
    <x v="2"/>
    <s v="sorvi2000@gmail.com"/>
    <x v="1"/>
    <n v="250"/>
    <n v="500"/>
    <n v="774"/>
    <n v="193500"/>
    <n v="387000"/>
    <n v="193500"/>
    <x v="2"/>
    <x v="0"/>
    <x v="8"/>
    <x v="1"/>
    <x v="1"/>
    <x v="8"/>
  </r>
  <r>
    <n v="11034"/>
    <x v="5"/>
    <s v="thomp@uk.com"/>
    <x v="2"/>
    <n v="180"/>
    <n v="450"/>
    <n v="861"/>
    <n v="154980"/>
    <n v="387450"/>
    <n v="232470"/>
    <x v="3"/>
    <x v="1"/>
    <x v="9"/>
    <x v="0"/>
    <x v="1"/>
    <x v="9"/>
  </r>
  <r>
    <n v="11035"/>
    <x v="4"/>
    <s v="andy@gmail.com"/>
    <x v="3"/>
    <n v="170"/>
    <n v="250"/>
    <n v="928"/>
    <n v="157760"/>
    <n v="232000"/>
    <n v="74240"/>
    <x v="4"/>
    <x v="2"/>
    <x v="10"/>
    <x v="2"/>
    <x v="1"/>
    <x v="10"/>
  </r>
  <r>
    <n v="11036"/>
    <x v="0"/>
    <s v="jard@gmail.com"/>
    <x v="4"/>
    <n v="150"/>
    <n v="200"/>
    <n v="706"/>
    <n v="105900"/>
    <n v="141200"/>
    <n v="35300"/>
    <x v="0"/>
    <x v="3"/>
    <x v="11"/>
    <x v="0"/>
    <x v="0"/>
    <x v="11"/>
  </r>
  <r>
    <n v="11037"/>
    <x v="0"/>
    <s v="jard@gmail.com"/>
    <x v="5"/>
    <n v="80"/>
    <n v="150"/>
    <n v="761"/>
    <n v="60880"/>
    <n v="114150"/>
    <n v="53270"/>
    <x v="1"/>
    <x v="4"/>
    <x v="0"/>
    <x v="0"/>
    <x v="0"/>
    <x v="0"/>
  </r>
  <r>
    <n v="11038"/>
    <x v="4"/>
    <s v="andy@gmail.com"/>
    <x v="6"/>
    <n v="90"/>
    <n v="150"/>
    <n v="849"/>
    <n v="76410"/>
    <n v="127350"/>
    <n v="50940"/>
    <x v="2"/>
    <x v="5"/>
    <x v="1"/>
    <x v="2"/>
    <x v="1"/>
    <x v="1"/>
  </r>
  <r>
    <n v="11039"/>
    <x v="3"/>
    <s v="jone.ai@yahoo.com"/>
    <x v="0"/>
    <n v="150"/>
    <n v="200"/>
    <n v="914"/>
    <n v="137100"/>
    <n v="182800"/>
    <n v="45700"/>
    <x v="3"/>
    <x v="0"/>
    <x v="2"/>
    <x v="0"/>
    <x v="1"/>
    <x v="2"/>
  </r>
  <r>
    <n v="11040"/>
    <x v="6"/>
    <s v="morganny@gmail.com"/>
    <x v="1"/>
    <n v="250"/>
    <n v="500"/>
    <n v="942"/>
    <n v="235500"/>
    <n v="471000"/>
    <n v="235500"/>
    <x v="4"/>
    <x v="1"/>
    <x v="3"/>
    <x v="1"/>
    <x v="1"/>
    <x v="3"/>
  </r>
  <r>
    <n v="11041"/>
    <x v="10"/>
    <s v="kivel_go@yahoo.com"/>
    <x v="2"/>
    <n v="180"/>
    <n v="450"/>
    <n v="930"/>
    <n v="167400"/>
    <n v="418500"/>
    <n v="251100"/>
    <x v="0"/>
    <x v="2"/>
    <x v="4"/>
    <x v="2"/>
    <x v="0"/>
    <x v="4"/>
  </r>
  <r>
    <n v="11042"/>
    <x v="2"/>
    <s v="sorvi2000@gmail.com"/>
    <x v="3"/>
    <n v="170"/>
    <n v="250"/>
    <n v="945"/>
    <n v="160650"/>
    <n v="236250"/>
    <n v="75600"/>
    <x v="1"/>
    <x v="3"/>
    <x v="5"/>
    <x v="1"/>
    <x v="0"/>
    <x v="5"/>
  </r>
  <r>
    <n v="11043"/>
    <x v="1"/>
    <s v="gillhell@uk.com"/>
    <x v="4"/>
    <n v="150"/>
    <n v="200"/>
    <n v="775"/>
    <n v="116250"/>
    <n v="155000"/>
    <n v="38750"/>
    <x v="2"/>
    <x v="4"/>
    <x v="6"/>
    <x v="2"/>
    <x v="1"/>
    <x v="6"/>
  </r>
  <r>
    <n v="11044"/>
    <x v="2"/>
    <s v="sorvi2000@gmail.com"/>
    <x v="5"/>
    <n v="80"/>
    <n v="150"/>
    <n v="729"/>
    <n v="58320"/>
    <n v="109350"/>
    <n v="51030"/>
    <x v="3"/>
    <x v="5"/>
    <x v="7"/>
    <x v="2"/>
    <x v="1"/>
    <x v="7"/>
  </r>
  <r>
    <n v="11045"/>
    <x v="5"/>
    <s v="thomp@uk.com"/>
    <x v="6"/>
    <n v="90"/>
    <n v="150"/>
    <n v="941"/>
    <n v="84690"/>
    <n v="141150"/>
    <n v="56460"/>
    <x v="4"/>
    <x v="0"/>
    <x v="8"/>
    <x v="0"/>
    <x v="1"/>
    <x v="8"/>
  </r>
  <r>
    <n v="11046"/>
    <x v="4"/>
    <s v="andy@gmail.com"/>
    <x v="0"/>
    <n v="150"/>
    <n v="200"/>
    <n v="735"/>
    <n v="110250"/>
    <n v="147000"/>
    <n v="36750"/>
    <x v="0"/>
    <x v="1"/>
    <x v="9"/>
    <x v="2"/>
    <x v="0"/>
    <x v="9"/>
  </r>
  <r>
    <n v="11047"/>
    <x v="0"/>
    <s v="jard@gmail.com"/>
    <x v="1"/>
    <n v="250"/>
    <n v="500"/>
    <n v="727"/>
    <n v="181750"/>
    <n v="363500"/>
    <n v="181750"/>
    <x v="1"/>
    <x v="2"/>
    <x v="10"/>
    <x v="1"/>
    <x v="0"/>
    <x v="10"/>
  </r>
  <r>
    <n v="11048"/>
    <x v="0"/>
    <s v="jard@gmail.com"/>
    <x v="2"/>
    <n v="180"/>
    <n v="450"/>
    <n v="859"/>
    <n v="154620"/>
    <n v="386550"/>
    <n v="231930"/>
    <x v="2"/>
    <x v="3"/>
    <x v="11"/>
    <x v="1"/>
    <x v="1"/>
    <x v="11"/>
  </r>
  <r>
    <n v="11049"/>
    <x v="4"/>
    <s v="andy@gmail.com"/>
    <x v="3"/>
    <n v="170"/>
    <n v="250"/>
    <n v="792"/>
    <n v="134640"/>
    <n v="198000"/>
    <n v="63360"/>
    <x v="3"/>
    <x v="4"/>
    <x v="0"/>
    <x v="2"/>
    <x v="1"/>
    <x v="0"/>
  </r>
  <r>
    <n v="11050"/>
    <x v="0"/>
    <s v="jard@gmail.com"/>
    <x v="4"/>
    <n v="150"/>
    <n v="200"/>
    <n v="874"/>
    <n v="131100"/>
    <n v="174800"/>
    <n v="43700"/>
    <x v="4"/>
    <x v="5"/>
    <x v="1"/>
    <x v="2"/>
    <x v="1"/>
    <x v="1"/>
  </r>
  <r>
    <n v="11051"/>
    <x v="1"/>
    <s v="gillhell@uk.com"/>
    <x v="5"/>
    <n v="80"/>
    <n v="150"/>
    <n v="792"/>
    <n v="63360"/>
    <n v="118800"/>
    <n v="55440"/>
    <x v="0"/>
    <x v="0"/>
    <x v="2"/>
    <x v="0"/>
    <x v="0"/>
    <x v="2"/>
  </r>
  <r>
    <n v="11052"/>
    <x v="2"/>
    <s v="sorvi2000@gmail.com"/>
    <x v="6"/>
    <n v="90"/>
    <n v="150"/>
    <n v="822"/>
    <n v="73980"/>
    <n v="123300"/>
    <n v="49320"/>
    <x v="1"/>
    <x v="1"/>
    <x v="3"/>
    <x v="1"/>
    <x v="0"/>
    <x v="3"/>
  </r>
  <r>
    <n v="11053"/>
    <x v="3"/>
    <s v="jone.ai@yahoo.com"/>
    <x v="0"/>
    <n v="150"/>
    <n v="200"/>
    <n v="912"/>
    <n v="136800"/>
    <n v="182400"/>
    <n v="45600"/>
    <x v="2"/>
    <x v="2"/>
    <x v="4"/>
    <x v="2"/>
    <x v="1"/>
    <x v="4"/>
  </r>
  <r>
    <n v="11054"/>
    <x v="4"/>
    <s v="andy@gmail.com"/>
    <x v="1"/>
    <n v="250"/>
    <n v="500"/>
    <n v="759"/>
    <n v="189750"/>
    <n v="379500"/>
    <n v="189750"/>
    <x v="3"/>
    <x v="3"/>
    <x v="5"/>
    <x v="2"/>
    <x v="1"/>
    <x v="5"/>
  </r>
  <r>
    <n v="11055"/>
    <x v="0"/>
    <s v="jard@gmail.com"/>
    <x v="2"/>
    <n v="180"/>
    <n v="450"/>
    <n v="858"/>
    <n v="154440"/>
    <n v="386100"/>
    <n v="231660"/>
    <x v="4"/>
    <x v="4"/>
    <x v="6"/>
    <x v="2"/>
    <x v="1"/>
    <x v="6"/>
  </r>
  <r>
    <n v="11056"/>
    <x v="5"/>
    <s v="thomp@uk.com"/>
    <x v="3"/>
    <n v="170"/>
    <n v="250"/>
    <n v="921"/>
    <n v="156570"/>
    <n v="230250"/>
    <n v="73680"/>
    <x v="0"/>
    <x v="5"/>
    <x v="7"/>
    <x v="1"/>
    <x v="0"/>
    <x v="7"/>
  </r>
  <r>
    <n v="11057"/>
    <x v="3"/>
    <s v="jone.ai@yahoo.com"/>
    <x v="4"/>
    <n v="150"/>
    <n v="200"/>
    <n v="871"/>
    <n v="130650"/>
    <n v="174200"/>
    <n v="43550"/>
    <x v="1"/>
    <x v="0"/>
    <x v="8"/>
    <x v="0"/>
    <x v="0"/>
    <x v="8"/>
  </r>
  <r>
    <n v="11058"/>
    <x v="6"/>
    <s v="morganny@gmail.com"/>
    <x v="5"/>
    <n v="80"/>
    <n v="150"/>
    <n v="836"/>
    <n v="66880"/>
    <n v="125400"/>
    <n v="58520"/>
    <x v="2"/>
    <x v="1"/>
    <x v="9"/>
    <x v="1"/>
    <x v="1"/>
    <x v="9"/>
  </r>
  <r>
    <n v="11059"/>
    <x v="7"/>
    <s v="howard_freeman@yahoo.com"/>
    <x v="6"/>
    <n v="90"/>
    <n v="150"/>
    <n v="861"/>
    <n v="77490"/>
    <n v="129150"/>
    <n v="51660"/>
    <x v="3"/>
    <x v="2"/>
    <x v="10"/>
    <x v="0"/>
    <x v="1"/>
    <x v="10"/>
  </r>
  <r>
    <n v="11060"/>
    <x v="8"/>
    <s v="parentty@uk.com"/>
    <x v="0"/>
    <n v="150"/>
    <n v="200"/>
    <n v="711"/>
    <n v="106650"/>
    <n v="142200"/>
    <n v="35550"/>
    <x v="4"/>
    <x v="3"/>
    <x v="11"/>
    <x v="0"/>
    <x v="1"/>
    <x v="11"/>
  </r>
  <r>
    <n v="11061"/>
    <x v="3"/>
    <s v="jone.ai@yahoo.com"/>
    <x v="1"/>
    <n v="250"/>
    <n v="500"/>
    <n v="834"/>
    <n v="208500"/>
    <n v="417000"/>
    <n v="208500"/>
    <x v="0"/>
    <x v="4"/>
    <x v="0"/>
    <x v="0"/>
    <x v="0"/>
    <x v="0"/>
  </r>
  <r>
    <n v="11062"/>
    <x v="9"/>
    <s v="smithMan@yahoo.com"/>
    <x v="2"/>
    <n v="180"/>
    <n v="450"/>
    <n v="979"/>
    <n v="176220"/>
    <n v="440550"/>
    <n v="264330"/>
    <x v="1"/>
    <x v="5"/>
    <x v="1"/>
    <x v="1"/>
    <x v="0"/>
    <x v="1"/>
  </r>
  <r>
    <n v="11063"/>
    <x v="3"/>
    <s v="jone.ai@yahoo.com"/>
    <x v="3"/>
    <n v="170"/>
    <n v="250"/>
    <n v="858"/>
    <n v="145860"/>
    <n v="214500"/>
    <n v="68640"/>
    <x v="2"/>
    <x v="0"/>
    <x v="2"/>
    <x v="0"/>
    <x v="1"/>
    <x v="2"/>
  </r>
  <r>
    <n v="11064"/>
    <x v="0"/>
    <s v="jard@gmail.com"/>
    <x v="4"/>
    <n v="150"/>
    <n v="200"/>
    <n v="737"/>
    <n v="110550"/>
    <n v="147400"/>
    <n v="36850"/>
    <x v="3"/>
    <x v="1"/>
    <x v="3"/>
    <x v="2"/>
    <x v="1"/>
    <x v="3"/>
  </r>
  <r>
    <n v="11065"/>
    <x v="1"/>
    <s v="gillhell@uk.com"/>
    <x v="5"/>
    <n v="80"/>
    <n v="150"/>
    <n v="800"/>
    <n v="64000"/>
    <n v="120000"/>
    <n v="56000"/>
    <x v="4"/>
    <x v="2"/>
    <x v="4"/>
    <x v="1"/>
    <x v="1"/>
    <x v="4"/>
  </r>
  <r>
    <n v="11066"/>
    <x v="2"/>
    <s v="sorvi2000@gmail.com"/>
    <x v="6"/>
    <n v="90"/>
    <n v="150"/>
    <n v="892"/>
    <n v="80280"/>
    <n v="133800"/>
    <n v="53520"/>
    <x v="0"/>
    <x v="3"/>
    <x v="5"/>
    <x v="1"/>
    <x v="0"/>
    <x v="5"/>
  </r>
  <r>
    <n v="11067"/>
    <x v="3"/>
    <s v="jone.ai@yahoo.com"/>
    <x v="0"/>
    <n v="150"/>
    <n v="200"/>
    <n v="758"/>
    <n v="113700"/>
    <n v="151600"/>
    <n v="37900"/>
    <x v="1"/>
    <x v="4"/>
    <x v="6"/>
    <x v="1"/>
    <x v="0"/>
    <x v="6"/>
  </r>
  <r>
    <n v="11068"/>
    <x v="4"/>
    <s v="andy@gmail.com"/>
    <x v="1"/>
    <n v="250"/>
    <n v="500"/>
    <n v="725"/>
    <n v="181250"/>
    <n v="362500"/>
    <n v="181250"/>
    <x v="2"/>
    <x v="5"/>
    <x v="7"/>
    <x v="2"/>
    <x v="1"/>
    <x v="7"/>
  </r>
  <r>
    <n v="11069"/>
    <x v="0"/>
    <s v="jard@gmail.com"/>
    <x v="2"/>
    <n v="180"/>
    <n v="450"/>
    <n v="939"/>
    <n v="169020"/>
    <n v="422550"/>
    <n v="253530"/>
    <x v="3"/>
    <x v="0"/>
    <x v="8"/>
    <x v="1"/>
    <x v="1"/>
    <x v="8"/>
  </r>
  <r>
    <n v="11070"/>
    <x v="5"/>
    <s v="thomp@uk.com"/>
    <x v="3"/>
    <n v="170"/>
    <n v="250"/>
    <n v="851"/>
    <n v="144670"/>
    <n v="212750"/>
    <n v="68080"/>
    <x v="4"/>
    <x v="1"/>
    <x v="9"/>
    <x v="2"/>
    <x v="1"/>
    <x v="9"/>
  </r>
  <r>
    <n v="11071"/>
    <x v="3"/>
    <s v="jone.ai@yahoo.com"/>
    <x v="4"/>
    <n v="150"/>
    <n v="200"/>
    <n v="814"/>
    <n v="122100"/>
    <n v="162800"/>
    <n v="40700"/>
    <x v="0"/>
    <x v="2"/>
    <x v="10"/>
    <x v="1"/>
    <x v="0"/>
    <x v="10"/>
  </r>
  <r>
    <n v="11072"/>
    <x v="6"/>
    <s v="morganny@gmail.com"/>
    <x v="5"/>
    <n v="80"/>
    <n v="150"/>
    <n v="832"/>
    <n v="66560"/>
    <n v="124800"/>
    <n v="58240"/>
    <x v="1"/>
    <x v="3"/>
    <x v="11"/>
    <x v="1"/>
    <x v="0"/>
    <x v="11"/>
  </r>
  <r>
    <n v="11073"/>
    <x v="7"/>
    <s v="howard_freeman@yahoo.com"/>
    <x v="6"/>
    <n v="90"/>
    <n v="150"/>
    <n v="927"/>
    <n v="83430"/>
    <n v="139050"/>
    <n v="55620"/>
    <x v="2"/>
    <x v="4"/>
    <x v="0"/>
    <x v="2"/>
    <x v="1"/>
    <x v="0"/>
  </r>
  <r>
    <n v="11074"/>
    <x v="8"/>
    <s v="parentty@uk.com"/>
    <x v="0"/>
    <n v="150"/>
    <n v="200"/>
    <n v="825"/>
    <n v="123750"/>
    <n v="165000"/>
    <n v="41250"/>
    <x v="3"/>
    <x v="5"/>
    <x v="1"/>
    <x v="1"/>
    <x v="1"/>
    <x v="1"/>
  </r>
  <r>
    <n v="11075"/>
    <x v="3"/>
    <s v="jone.ai@yahoo.com"/>
    <x v="1"/>
    <n v="250"/>
    <n v="500"/>
    <n v="934"/>
    <n v="233500"/>
    <n v="467000"/>
    <n v="233500"/>
    <x v="4"/>
    <x v="0"/>
    <x v="2"/>
    <x v="1"/>
    <x v="1"/>
    <x v="2"/>
  </r>
  <r>
    <n v="11076"/>
    <x v="9"/>
    <s v="smithMan@yahoo.com"/>
    <x v="2"/>
    <n v="180"/>
    <n v="450"/>
    <n v="779"/>
    <n v="140220"/>
    <n v="350550"/>
    <n v="210330"/>
    <x v="0"/>
    <x v="1"/>
    <x v="3"/>
    <x v="0"/>
    <x v="0"/>
    <x v="3"/>
  </r>
  <r>
    <n v="11077"/>
    <x v="3"/>
    <s v="jone.ai@yahoo.com"/>
    <x v="3"/>
    <n v="170"/>
    <n v="250"/>
    <n v="706"/>
    <n v="120020"/>
    <n v="176500"/>
    <n v="56480"/>
    <x v="1"/>
    <x v="2"/>
    <x v="4"/>
    <x v="0"/>
    <x v="0"/>
    <x v="4"/>
  </r>
  <r>
    <n v="11078"/>
    <x v="6"/>
    <s v="morganny@gmail.com"/>
    <x v="4"/>
    <n v="150"/>
    <n v="200"/>
    <n v="743"/>
    <n v="111450"/>
    <n v="148600"/>
    <n v="37150"/>
    <x v="2"/>
    <x v="3"/>
    <x v="5"/>
    <x v="2"/>
    <x v="1"/>
    <x v="5"/>
  </r>
  <r>
    <n v="11079"/>
    <x v="3"/>
    <s v="jone.ai@yahoo.com"/>
    <x v="5"/>
    <n v="80"/>
    <n v="150"/>
    <n v="919"/>
    <n v="73520"/>
    <n v="137850"/>
    <n v="64330"/>
    <x v="3"/>
    <x v="4"/>
    <x v="6"/>
    <x v="2"/>
    <x v="1"/>
    <x v="6"/>
  </r>
  <r>
    <n v="11080"/>
    <x v="8"/>
    <s v="parentty@uk.com"/>
    <x v="6"/>
    <n v="90"/>
    <n v="150"/>
    <n v="991"/>
    <n v="89190"/>
    <n v="148650"/>
    <n v="59460"/>
    <x v="4"/>
    <x v="5"/>
    <x v="7"/>
    <x v="0"/>
    <x v="1"/>
    <x v="7"/>
  </r>
  <r>
    <n v="11081"/>
    <x v="10"/>
    <s v="kivel_go@yahoo.com"/>
    <x v="0"/>
    <n v="150"/>
    <n v="200"/>
    <n v="836"/>
    <n v="125400"/>
    <n v="167200"/>
    <n v="41800"/>
    <x v="0"/>
    <x v="0"/>
    <x v="8"/>
    <x v="1"/>
    <x v="0"/>
    <x v="8"/>
  </r>
  <r>
    <n v="11082"/>
    <x v="9"/>
    <s v="smithMan@yahoo.com"/>
    <x v="1"/>
    <n v="250"/>
    <n v="500"/>
    <n v="793"/>
    <n v="198250"/>
    <n v="396500"/>
    <n v="198250"/>
    <x v="1"/>
    <x v="1"/>
    <x v="9"/>
    <x v="2"/>
    <x v="0"/>
    <x v="9"/>
  </r>
  <r>
    <n v="11083"/>
    <x v="8"/>
    <s v="parentty@uk.com"/>
    <x v="2"/>
    <n v="180"/>
    <n v="450"/>
    <n v="831"/>
    <n v="149580"/>
    <n v="373950"/>
    <n v="224370"/>
    <x v="2"/>
    <x v="2"/>
    <x v="10"/>
    <x v="0"/>
    <x v="1"/>
    <x v="10"/>
  </r>
  <r>
    <n v="11084"/>
    <x v="1"/>
    <s v="gillhell@uk.com"/>
    <x v="3"/>
    <n v="170"/>
    <n v="250"/>
    <n v="847"/>
    <n v="143990"/>
    <n v="211750"/>
    <n v="67760"/>
    <x v="3"/>
    <x v="3"/>
    <x v="11"/>
    <x v="2"/>
    <x v="1"/>
    <x v="11"/>
  </r>
  <r>
    <n v="11085"/>
    <x v="9"/>
    <s v="smithMan@yahoo.com"/>
    <x v="4"/>
    <n v="150"/>
    <n v="200"/>
    <n v="993"/>
    <n v="148950"/>
    <n v="198600"/>
    <n v="49650"/>
    <x v="4"/>
    <x v="4"/>
    <x v="0"/>
    <x v="2"/>
    <x v="1"/>
    <x v="0"/>
  </r>
  <r>
    <n v="11086"/>
    <x v="3"/>
    <s v="jone.ai@yahoo.com"/>
    <x v="5"/>
    <n v="80"/>
    <n v="150"/>
    <n v="904"/>
    <n v="72320"/>
    <n v="135600"/>
    <n v="63280"/>
    <x v="0"/>
    <x v="5"/>
    <x v="1"/>
    <x v="0"/>
    <x v="0"/>
    <x v="1"/>
  </r>
  <r>
    <n v="11087"/>
    <x v="2"/>
    <s v="sorvi2000@gmail.com"/>
    <x v="6"/>
    <n v="90"/>
    <n v="150"/>
    <n v="832"/>
    <n v="74880"/>
    <n v="124800"/>
    <n v="49920"/>
    <x v="1"/>
    <x v="0"/>
    <x v="2"/>
    <x v="1"/>
    <x v="0"/>
    <x v="2"/>
  </r>
  <r>
    <n v="11088"/>
    <x v="0"/>
    <s v="jard@gmail.com"/>
    <x v="0"/>
    <n v="150"/>
    <n v="200"/>
    <n v="763"/>
    <n v="114450"/>
    <n v="152600"/>
    <n v="38150"/>
    <x v="2"/>
    <x v="1"/>
    <x v="3"/>
    <x v="2"/>
    <x v="1"/>
    <x v="3"/>
  </r>
  <r>
    <n v="11089"/>
    <x v="4"/>
    <s v="andy@gmail.com"/>
    <x v="1"/>
    <n v="250"/>
    <n v="500"/>
    <n v="912"/>
    <n v="228000"/>
    <n v="456000"/>
    <n v="228000"/>
    <x v="3"/>
    <x v="2"/>
    <x v="4"/>
    <x v="0"/>
    <x v="1"/>
    <x v="4"/>
  </r>
  <r>
    <n v="11090"/>
    <x v="7"/>
    <s v="howard_freeman@yahoo.com"/>
    <x v="2"/>
    <n v="180"/>
    <n v="450"/>
    <n v="834"/>
    <n v="150120"/>
    <n v="375300"/>
    <n v="225180"/>
    <x v="4"/>
    <x v="3"/>
    <x v="5"/>
    <x v="1"/>
    <x v="1"/>
    <x v="5"/>
  </r>
  <r>
    <n v="11091"/>
    <x v="1"/>
    <s v="gillhell@uk.com"/>
    <x v="3"/>
    <n v="170"/>
    <n v="250"/>
    <n v="914"/>
    <n v="155380"/>
    <n v="228500"/>
    <n v="73120"/>
    <x v="0"/>
    <x v="4"/>
    <x v="6"/>
    <x v="0"/>
    <x v="0"/>
    <x v="6"/>
  </r>
  <r>
    <n v="11092"/>
    <x v="1"/>
    <s v="gillhell@uk.com"/>
    <x v="4"/>
    <n v="150"/>
    <n v="200"/>
    <n v="863"/>
    <n v="129450"/>
    <n v="172600"/>
    <n v="43150"/>
    <x v="1"/>
    <x v="5"/>
    <x v="7"/>
    <x v="0"/>
    <x v="0"/>
    <x v="7"/>
  </r>
  <r>
    <n v="11093"/>
    <x v="10"/>
    <s v="kivel_go@yahoo.com"/>
    <x v="5"/>
    <n v="80"/>
    <n v="150"/>
    <n v="835"/>
    <n v="66800"/>
    <n v="125250"/>
    <n v="58450"/>
    <x v="2"/>
    <x v="0"/>
    <x v="8"/>
    <x v="2"/>
    <x v="1"/>
    <x v="8"/>
  </r>
  <r>
    <n v="11094"/>
    <x v="3"/>
    <s v="jone.ai@yahoo.com"/>
    <x v="6"/>
    <n v="90"/>
    <n v="150"/>
    <n v="859"/>
    <n v="77310"/>
    <n v="128850"/>
    <n v="51540"/>
    <x v="3"/>
    <x v="1"/>
    <x v="9"/>
    <x v="0"/>
    <x v="1"/>
    <x v="9"/>
  </r>
  <r>
    <n v="11095"/>
    <x v="6"/>
    <s v="morganny@gmail.com"/>
    <x v="0"/>
    <n v="150"/>
    <n v="200"/>
    <n v="995"/>
    <n v="149250"/>
    <n v="199000"/>
    <n v="49750"/>
    <x v="4"/>
    <x v="2"/>
    <x v="10"/>
    <x v="2"/>
    <x v="1"/>
    <x v="10"/>
  </r>
  <r>
    <n v="11096"/>
    <x v="10"/>
    <s v="kivel_go@yahoo.com"/>
    <x v="1"/>
    <n v="250"/>
    <n v="500"/>
    <n v="995"/>
    <n v="248750"/>
    <n v="497500"/>
    <n v="248750"/>
    <x v="0"/>
    <x v="3"/>
    <x v="11"/>
    <x v="1"/>
    <x v="0"/>
    <x v="11"/>
  </r>
  <r>
    <n v="11097"/>
    <x v="2"/>
    <s v="sorvi2000@gmail.com"/>
    <x v="2"/>
    <n v="180"/>
    <n v="450"/>
    <n v="736"/>
    <n v="132480"/>
    <n v="331200"/>
    <n v="198720"/>
    <x v="1"/>
    <x v="4"/>
    <x v="0"/>
    <x v="0"/>
    <x v="0"/>
    <x v="0"/>
  </r>
  <r>
    <n v="11098"/>
    <x v="1"/>
    <s v="gillhell@uk.com"/>
    <x v="3"/>
    <n v="170"/>
    <n v="250"/>
    <n v="857"/>
    <n v="145690"/>
    <n v="214250"/>
    <n v="68560"/>
    <x v="2"/>
    <x v="5"/>
    <x v="1"/>
    <x v="1"/>
    <x v="1"/>
    <x v="1"/>
  </r>
  <r>
    <n v="11099"/>
    <x v="2"/>
    <s v="sorvi2000@gmail.com"/>
    <x v="4"/>
    <n v="150"/>
    <n v="200"/>
    <n v="938"/>
    <n v="140700"/>
    <n v="187600"/>
    <n v="46900"/>
    <x v="3"/>
    <x v="0"/>
    <x v="2"/>
    <x v="1"/>
    <x v="1"/>
    <x v="2"/>
  </r>
  <r>
    <n v="11100"/>
    <x v="5"/>
    <s v="thomp@uk.com"/>
    <x v="5"/>
    <n v="80"/>
    <n v="150"/>
    <n v="785"/>
    <n v="62800"/>
    <n v="117750"/>
    <n v="54950"/>
    <x v="4"/>
    <x v="1"/>
    <x v="3"/>
    <x v="1"/>
    <x v="1"/>
    <x v="3"/>
  </r>
  <r>
    <n v="11101"/>
    <x v="4"/>
    <s v="andy@gmail.com"/>
    <x v="6"/>
    <n v="90"/>
    <n v="150"/>
    <n v="910"/>
    <n v="81900"/>
    <n v="136500"/>
    <n v="54600"/>
    <x v="0"/>
    <x v="2"/>
    <x v="4"/>
    <x v="1"/>
    <x v="0"/>
    <x v="4"/>
  </r>
  <r>
    <n v="11102"/>
    <x v="0"/>
    <s v="jard@gmail.com"/>
    <x v="0"/>
    <n v="150"/>
    <n v="200"/>
    <n v="838"/>
    <n v="125700"/>
    <n v="167600"/>
    <n v="41900"/>
    <x v="1"/>
    <x v="3"/>
    <x v="5"/>
    <x v="0"/>
    <x v="0"/>
    <x v="5"/>
  </r>
  <r>
    <n v="11103"/>
    <x v="0"/>
    <s v="jard@gmail.com"/>
    <x v="1"/>
    <n v="250"/>
    <n v="500"/>
    <n v="943"/>
    <n v="235750"/>
    <n v="471500"/>
    <n v="235750"/>
    <x v="2"/>
    <x v="4"/>
    <x v="6"/>
    <x v="0"/>
    <x v="1"/>
    <x v="6"/>
  </r>
  <r>
    <n v="11104"/>
    <x v="4"/>
    <s v="andy@gmail.com"/>
    <x v="2"/>
    <n v="180"/>
    <n v="450"/>
    <n v="771"/>
    <n v="138780"/>
    <n v="346950"/>
    <n v="208170"/>
    <x v="3"/>
    <x v="5"/>
    <x v="7"/>
    <x v="0"/>
    <x v="1"/>
    <x v="7"/>
  </r>
  <r>
    <n v="11105"/>
    <x v="0"/>
    <s v="jard@gmail.com"/>
    <x v="3"/>
    <n v="170"/>
    <n v="250"/>
    <n v="881"/>
    <n v="149770"/>
    <n v="220250"/>
    <n v="70480"/>
    <x v="4"/>
    <x v="0"/>
    <x v="8"/>
    <x v="2"/>
    <x v="1"/>
    <x v="8"/>
  </r>
  <r>
    <n v="11106"/>
    <x v="1"/>
    <s v="gillhell@uk.com"/>
    <x v="4"/>
    <n v="150"/>
    <n v="200"/>
    <n v="973"/>
    <n v="145950"/>
    <n v="194600"/>
    <n v="48650"/>
    <x v="0"/>
    <x v="1"/>
    <x v="9"/>
    <x v="2"/>
    <x v="0"/>
    <x v="9"/>
  </r>
  <r>
    <n v="11107"/>
    <x v="2"/>
    <s v="sorvi2000@gmail.com"/>
    <x v="5"/>
    <n v="80"/>
    <n v="150"/>
    <n v="786"/>
    <n v="62880"/>
    <n v="117900"/>
    <n v="55020"/>
    <x v="1"/>
    <x v="2"/>
    <x v="10"/>
    <x v="2"/>
    <x v="0"/>
    <x v="10"/>
  </r>
  <r>
    <n v="11108"/>
    <x v="3"/>
    <s v="jone.ai@yahoo.com"/>
    <x v="6"/>
    <n v="90"/>
    <n v="150"/>
    <n v="904"/>
    <n v="81360"/>
    <n v="135600"/>
    <n v="54240"/>
    <x v="2"/>
    <x v="3"/>
    <x v="11"/>
    <x v="1"/>
    <x v="1"/>
    <x v="11"/>
  </r>
  <r>
    <n v="11109"/>
    <x v="4"/>
    <s v="andy@gmail.com"/>
    <x v="0"/>
    <n v="150"/>
    <n v="200"/>
    <n v="912"/>
    <n v="136800"/>
    <n v="182400"/>
    <n v="45600"/>
    <x v="3"/>
    <x v="4"/>
    <x v="0"/>
    <x v="1"/>
    <x v="1"/>
    <x v="0"/>
  </r>
  <r>
    <n v="11110"/>
    <x v="0"/>
    <s v="jard@gmail.com"/>
    <x v="1"/>
    <n v="250"/>
    <n v="500"/>
    <n v="734"/>
    <n v="183500"/>
    <n v="367000"/>
    <n v="183500"/>
    <x v="4"/>
    <x v="5"/>
    <x v="1"/>
    <x v="1"/>
    <x v="1"/>
    <x v="1"/>
  </r>
  <r>
    <n v="11111"/>
    <x v="5"/>
    <s v="thomp@uk.com"/>
    <x v="2"/>
    <n v="180"/>
    <n v="450"/>
    <n v="977"/>
    <n v="175860"/>
    <n v="439650"/>
    <n v="263790"/>
    <x v="0"/>
    <x v="0"/>
    <x v="2"/>
    <x v="2"/>
    <x v="0"/>
    <x v="2"/>
  </r>
  <r>
    <n v="11112"/>
    <x v="3"/>
    <s v="jone.ai@yahoo.com"/>
    <x v="3"/>
    <n v="170"/>
    <n v="250"/>
    <n v="711"/>
    <n v="120870"/>
    <n v="177750"/>
    <n v="56880"/>
    <x v="1"/>
    <x v="1"/>
    <x v="3"/>
    <x v="2"/>
    <x v="0"/>
    <x v="3"/>
  </r>
  <r>
    <n v="11113"/>
    <x v="6"/>
    <s v="morganny@gmail.com"/>
    <x v="4"/>
    <n v="150"/>
    <n v="200"/>
    <n v="727"/>
    <n v="109050"/>
    <n v="145400"/>
    <n v="36350"/>
    <x v="2"/>
    <x v="2"/>
    <x v="4"/>
    <x v="2"/>
    <x v="1"/>
    <x v="4"/>
  </r>
  <r>
    <n v="11114"/>
    <x v="7"/>
    <s v="howard_freeman@yahoo.com"/>
    <x v="5"/>
    <n v="80"/>
    <n v="150"/>
    <n v="732"/>
    <n v="58560"/>
    <n v="109800"/>
    <n v="51240"/>
    <x v="3"/>
    <x v="3"/>
    <x v="5"/>
    <x v="2"/>
    <x v="1"/>
    <x v="5"/>
  </r>
  <r>
    <n v="11115"/>
    <x v="8"/>
    <s v="parentty@uk.com"/>
    <x v="6"/>
    <n v="90"/>
    <n v="150"/>
    <n v="908"/>
    <n v="81720"/>
    <n v="136200"/>
    <n v="54480"/>
    <x v="4"/>
    <x v="4"/>
    <x v="6"/>
    <x v="1"/>
    <x v="1"/>
    <x v="6"/>
  </r>
  <r>
    <n v="11116"/>
    <x v="3"/>
    <s v="jone.ai@yahoo.com"/>
    <x v="0"/>
    <n v="150"/>
    <n v="200"/>
    <n v="767"/>
    <n v="115050"/>
    <n v="153400"/>
    <n v="38350"/>
    <x v="0"/>
    <x v="5"/>
    <x v="7"/>
    <x v="2"/>
    <x v="0"/>
    <x v="7"/>
  </r>
  <r>
    <n v="11117"/>
    <x v="9"/>
    <s v="smithMan@yahoo.com"/>
    <x v="1"/>
    <n v="250"/>
    <n v="500"/>
    <n v="847"/>
    <n v="211750"/>
    <n v="423500"/>
    <n v="211750"/>
    <x v="1"/>
    <x v="0"/>
    <x v="8"/>
    <x v="0"/>
    <x v="0"/>
    <x v="8"/>
  </r>
  <r>
    <n v="11118"/>
    <x v="3"/>
    <s v="jone.ai@yahoo.com"/>
    <x v="2"/>
    <n v="180"/>
    <n v="450"/>
    <n v="968"/>
    <n v="174240"/>
    <n v="435600"/>
    <n v="261360"/>
    <x v="2"/>
    <x v="1"/>
    <x v="9"/>
    <x v="0"/>
    <x v="1"/>
    <x v="9"/>
  </r>
  <r>
    <n v="11119"/>
    <x v="6"/>
    <s v="morganny@gmail.com"/>
    <x v="3"/>
    <n v="170"/>
    <n v="250"/>
    <n v="832"/>
    <n v="141440"/>
    <n v="208000"/>
    <n v="66560"/>
    <x v="3"/>
    <x v="2"/>
    <x v="10"/>
    <x v="1"/>
    <x v="1"/>
    <x v="10"/>
  </r>
  <r>
    <n v="11120"/>
    <x v="3"/>
    <s v="jone.ai@yahoo.com"/>
    <x v="4"/>
    <n v="150"/>
    <n v="200"/>
    <n v="763"/>
    <n v="114450"/>
    <n v="152600"/>
    <n v="38150"/>
    <x v="4"/>
    <x v="3"/>
    <x v="11"/>
    <x v="1"/>
    <x v="1"/>
    <x v="11"/>
  </r>
  <r>
    <n v="11121"/>
    <x v="8"/>
    <s v="parentty@uk.com"/>
    <x v="5"/>
    <n v="80"/>
    <n v="150"/>
    <n v="842"/>
    <n v="67360"/>
    <n v="126300"/>
    <n v="58940"/>
    <x v="0"/>
    <x v="4"/>
    <x v="0"/>
    <x v="2"/>
    <x v="0"/>
    <x v="0"/>
  </r>
  <r>
    <n v="11122"/>
    <x v="10"/>
    <s v="kivel_go@yahoo.com"/>
    <x v="6"/>
    <n v="90"/>
    <n v="150"/>
    <n v="848"/>
    <n v="76320"/>
    <n v="127200"/>
    <n v="50880"/>
    <x v="1"/>
    <x v="5"/>
    <x v="1"/>
    <x v="1"/>
    <x v="0"/>
    <x v="1"/>
  </r>
  <r>
    <n v="11123"/>
    <x v="9"/>
    <s v="smithMan@yahoo.com"/>
    <x v="0"/>
    <n v="150"/>
    <n v="200"/>
    <n v="988"/>
    <n v="148200"/>
    <n v="197600"/>
    <n v="49400"/>
    <x v="2"/>
    <x v="0"/>
    <x v="2"/>
    <x v="1"/>
    <x v="1"/>
    <x v="2"/>
  </r>
  <r>
    <n v="11124"/>
    <x v="8"/>
    <s v="parentty@uk.com"/>
    <x v="1"/>
    <n v="250"/>
    <n v="500"/>
    <n v="876"/>
    <n v="219000"/>
    <n v="438000"/>
    <n v="219000"/>
    <x v="3"/>
    <x v="1"/>
    <x v="3"/>
    <x v="1"/>
    <x v="1"/>
    <x v="3"/>
  </r>
  <r>
    <n v="11125"/>
    <x v="1"/>
    <s v="gillhell@uk.com"/>
    <x v="2"/>
    <n v="180"/>
    <n v="450"/>
    <n v="900"/>
    <n v="162000"/>
    <n v="405000"/>
    <n v="243000"/>
    <x v="4"/>
    <x v="2"/>
    <x v="4"/>
    <x v="0"/>
    <x v="1"/>
    <x v="4"/>
  </r>
  <r>
    <n v="11126"/>
    <x v="9"/>
    <s v="smithMan@yahoo.com"/>
    <x v="3"/>
    <n v="170"/>
    <n v="250"/>
    <n v="938"/>
    <n v="159460"/>
    <n v="234500"/>
    <n v="75040"/>
    <x v="0"/>
    <x v="3"/>
    <x v="5"/>
    <x v="0"/>
    <x v="0"/>
    <x v="5"/>
  </r>
  <r>
    <n v="11127"/>
    <x v="3"/>
    <s v="jone.ai@yahoo.com"/>
    <x v="4"/>
    <n v="150"/>
    <n v="200"/>
    <n v="731"/>
    <n v="109650"/>
    <n v="146200"/>
    <n v="36550"/>
    <x v="1"/>
    <x v="4"/>
    <x v="6"/>
    <x v="1"/>
    <x v="0"/>
    <x v="6"/>
  </r>
  <r>
    <n v="11128"/>
    <x v="2"/>
    <s v="sorvi2000@gmail.com"/>
    <x v="5"/>
    <n v="80"/>
    <n v="150"/>
    <n v="779"/>
    <n v="62320"/>
    <n v="116850"/>
    <n v="54530"/>
    <x v="2"/>
    <x v="5"/>
    <x v="7"/>
    <x v="2"/>
    <x v="1"/>
    <x v="7"/>
  </r>
  <r>
    <n v="11129"/>
    <x v="0"/>
    <s v="jard@gmail.com"/>
    <x v="6"/>
    <n v="90"/>
    <n v="150"/>
    <n v="900"/>
    <n v="81000"/>
    <n v="135000"/>
    <n v="54000"/>
    <x v="3"/>
    <x v="0"/>
    <x v="8"/>
    <x v="0"/>
    <x v="1"/>
    <x v="8"/>
  </r>
  <r>
    <n v="11130"/>
    <x v="4"/>
    <s v="andy@gmail.com"/>
    <x v="0"/>
    <n v="150"/>
    <n v="200"/>
    <n v="953"/>
    <n v="142950"/>
    <n v="190600"/>
    <n v="47650"/>
    <x v="4"/>
    <x v="1"/>
    <x v="9"/>
    <x v="2"/>
    <x v="1"/>
    <x v="9"/>
  </r>
  <r>
    <n v="11131"/>
    <x v="7"/>
    <s v="howard_freeman@yahoo.com"/>
    <x v="1"/>
    <n v="250"/>
    <n v="500"/>
    <n v="700"/>
    <n v="175000"/>
    <n v="350000"/>
    <n v="175000"/>
    <x v="0"/>
    <x v="2"/>
    <x v="10"/>
    <x v="0"/>
    <x v="0"/>
    <x v="10"/>
  </r>
  <r>
    <n v="11132"/>
    <x v="1"/>
    <s v="gillhell@uk.com"/>
    <x v="2"/>
    <n v="180"/>
    <n v="450"/>
    <n v="721"/>
    <n v="129780"/>
    <n v="324450"/>
    <n v="194670"/>
    <x v="1"/>
    <x v="3"/>
    <x v="11"/>
    <x v="1"/>
    <x v="0"/>
    <x v="11"/>
  </r>
  <r>
    <n v="11133"/>
    <x v="1"/>
    <s v="gillhell@uk.com"/>
    <x v="3"/>
    <n v="170"/>
    <n v="250"/>
    <n v="972"/>
    <n v="165240"/>
    <n v="243000"/>
    <n v="77760"/>
    <x v="2"/>
    <x v="4"/>
    <x v="0"/>
    <x v="0"/>
    <x v="1"/>
    <x v="0"/>
  </r>
  <r>
    <n v="11134"/>
    <x v="10"/>
    <s v="kivel_go@yahoo.com"/>
    <x v="4"/>
    <n v="150"/>
    <n v="200"/>
    <n v="860"/>
    <n v="129000"/>
    <n v="172000"/>
    <n v="43000"/>
    <x v="3"/>
    <x v="5"/>
    <x v="1"/>
    <x v="1"/>
    <x v="1"/>
    <x v="1"/>
  </r>
  <r>
    <n v="11135"/>
    <x v="3"/>
    <s v="jone.ai@yahoo.com"/>
    <x v="5"/>
    <n v="80"/>
    <n v="150"/>
    <n v="811"/>
    <n v="64880"/>
    <n v="121650"/>
    <n v="56770"/>
    <x v="4"/>
    <x v="0"/>
    <x v="2"/>
    <x v="0"/>
    <x v="1"/>
    <x v="2"/>
  </r>
  <r>
    <n v="11136"/>
    <x v="6"/>
    <s v="morganny@gmail.com"/>
    <x v="6"/>
    <n v="90"/>
    <n v="150"/>
    <n v="963"/>
    <n v="86670"/>
    <n v="144450"/>
    <n v="57780"/>
    <x v="0"/>
    <x v="1"/>
    <x v="3"/>
    <x v="0"/>
    <x v="0"/>
    <x v="3"/>
  </r>
  <r>
    <n v="11137"/>
    <x v="10"/>
    <s v="kivel_go@yahoo.com"/>
    <x v="0"/>
    <n v="150"/>
    <n v="200"/>
    <n v="974"/>
    <n v="146100"/>
    <n v="194800"/>
    <n v="48700"/>
    <x v="1"/>
    <x v="2"/>
    <x v="4"/>
    <x v="2"/>
    <x v="0"/>
    <x v="4"/>
  </r>
  <r>
    <n v="11138"/>
    <x v="2"/>
    <s v="sorvi2000@gmail.com"/>
    <x v="1"/>
    <n v="250"/>
    <n v="500"/>
    <n v="839"/>
    <n v="209750"/>
    <n v="419500"/>
    <n v="209750"/>
    <x v="2"/>
    <x v="3"/>
    <x v="5"/>
    <x v="0"/>
    <x v="1"/>
    <x v="5"/>
  </r>
  <r>
    <n v="11139"/>
    <x v="1"/>
    <s v="gillhell@uk.com"/>
    <x v="2"/>
    <n v="180"/>
    <n v="450"/>
    <n v="907"/>
    <n v="163260"/>
    <n v="408150"/>
    <n v="244890"/>
    <x v="3"/>
    <x v="4"/>
    <x v="6"/>
    <x v="2"/>
    <x v="1"/>
    <x v="6"/>
  </r>
  <r>
    <n v="11140"/>
    <x v="2"/>
    <s v="sorvi2000@gmail.com"/>
    <x v="3"/>
    <n v="170"/>
    <n v="250"/>
    <n v="949"/>
    <n v="161330"/>
    <n v="237250"/>
    <n v="75920"/>
    <x v="4"/>
    <x v="5"/>
    <x v="7"/>
    <x v="2"/>
    <x v="1"/>
    <x v="7"/>
  </r>
  <r>
    <n v="11141"/>
    <x v="5"/>
    <s v="thomp@uk.com"/>
    <x v="4"/>
    <n v="150"/>
    <n v="200"/>
    <n v="903"/>
    <n v="135450"/>
    <n v="180600"/>
    <n v="45150"/>
    <x v="0"/>
    <x v="0"/>
    <x v="8"/>
    <x v="0"/>
    <x v="0"/>
    <x v="8"/>
  </r>
  <r>
    <n v="11142"/>
    <x v="4"/>
    <s v="andy@gmail.com"/>
    <x v="5"/>
    <n v="80"/>
    <n v="150"/>
    <n v="740"/>
    <n v="59200"/>
    <n v="111000"/>
    <n v="51800"/>
    <x v="1"/>
    <x v="1"/>
    <x v="9"/>
    <x v="1"/>
    <x v="0"/>
    <x v="9"/>
  </r>
  <r>
    <n v="11143"/>
    <x v="0"/>
    <s v="jard@gmail.com"/>
    <x v="6"/>
    <n v="90"/>
    <n v="150"/>
    <n v="962"/>
    <n v="86580"/>
    <n v="144300"/>
    <n v="57720"/>
    <x v="2"/>
    <x v="2"/>
    <x v="10"/>
    <x v="2"/>
    <x v="1"/>
    <x v="10"/>
  </r>
  <r>
    <n v="11144"/>
    <x v="0"/>
    <s v="jard@gmail.com"/>
    <x v="0"/>
    <n v="150"/>
    <n v="200"/>
    <n v="892"/>
    <n v="133800"/>
    <n v="178400"/>
    <n v="44600"/>
    <x v="3"/>
    <x v="3"/>
    <x v="11"/>
    <x v="2"/>
    <x v="1"/>
    <x v="11"/>
  </r>
  <r>
    <n v="11145"/>
    <x v="4"/>
    <s v="andy@gmail.com"/>
    <x v="1"/>
    <n v="250"/>
    <n v="500"/>
    <n v="816"/>
    <n v="204000"/>
    <n v="408000"/>
    <n v="204000"/>
    <x v="4"/>
    <x v="4"/>
    <x v="0"/>
    <x v="0"/>
    <x v="1"/>
    <x v="0"/>
  </r>
  <r>
    <n v="11146"/>
    <x v="3"/>
    <s v="jone.ai@yahoo.com"/>
    <x v="2"/>
    <n v="180"/>
    <n v="450"/>
    <n v="939"/>
    <n v="169020"/>
    <n v="422550"/>
    <n v="253530"/>
    <x v="0"/>
    <x v="5"/>
    <x v="1"/>
    <x v="2"/>
    <x v="0"/>
    <x v="1"/>
  </r>
  <r>
    <n v="11147"/>
    <x v="6"/>
    <s v="morganny@gmail.com"/>
    <x v="3"/>
    <n v="170"/>
    <n v="250"/>
    <n v="935"/>
    <n v="158950"/>
    <n v="233750"/>
    <n v="74800"/>
    <x v="1"/>
    <x v="0"/>
    <x v="2"/>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640FB-0263-4CD1-9A6C-F44B04E2F029}" name="PivotTable1" cacheId="3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rowHeaderCaption="Sales Person">
  <location ref="E1:F9" firstHeaderRow="1" firstDataRow="1" firstDataCol="1"/>
  <pivotFields count="16">
    <pivotField showAll="0"/>
    <pivotField axis="axisRow" showAll="0" measureFilter="1" sortType="descending">
      <items count="12">
        <item x="4"/>
        <item x="1"/>
        <item x="7"/>
        <item x="0"/>
        <item x="3"/>
        <item x="10"/>
        <item x="6"/>
        <item x="8"/>
        <item x="9"/>
        <item x="2"/>
        <item x="5"/>
        <item t="default"/>
      </items>
      <autoSortScope>
        <pivotArea dataOnly="0" outline="0" fieldPosition="0">
          <references count="1">
            <reference field="4294967294" count="1" selected="0">
              <x v="0"/>
            </reference>
          </references>
        </pivotArea>
      </autoSortScope>
    </pivotField>
    <pivotField showAll="0"/>
    <pivotField showAll="0">
      <items count="8">
        <item x="5"/>
        <item h="1" x="1"/>
        <item x="2"/>
        <item x="3"/>
        <item x="6"/>
        <item x="4"/>
        <item x="0"/>
        <item t="default"/>
      </items>
    </pivotField>
    <pivotField showAll="0"/>
    <pivotField showAll="0"/>
    <pivotField showAll="0"/>
    <pivotField showAll="0"/>
    <pivotField dataField="1" showAll="0"/>
    <pivotField showAll="0"/>
    <pivotField showAll="0">
      <items count="6">
        <item h="1" x="3"/>
        <item h="1" x="0"/>
        <item x="1"/>
        <item h="1" x="4"/>
        <item h="1" x="2"/>
        <item t="default"/>
      </items>
    </pivotField>
    <pivotField showAll="0"/>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3">
        <item x="0"/>
        <item x="1"/>
        <item t="default"/>
      </items>
    </pivotField>
    <pivotField showAll="0"/>
  </pivotFields>
  <rowFields count="1">
    <field x="1"/>
  </rowFields>
  <rowItems count="8">
    <i>
      <x v="4"/>
    </i>
    <i>
      <x v="9"/>
    </i>
    <i>
      <x v="3"/>
    </i>
    <i>
      <x/>
    </i>
    <i>
      <x v="6"/>
    </i>
    <i>
      <x v="1"/>
    </i>
    <i>
      <x v="5"/>
    </i>
    <i t="grand">
      <x/>
    </i>
  </rowItems>
  <colItems count="1">
    <i/>
  </colItems>
  <dataFields count="1">
    <dataField name="Total Revenue" fld="8" baseField="0" baseItem="0" numFmtId="164"/>
  </dataFields>
  <formats count="3">
    <format dxfId="230">
      <pivotArea outline="0" collapsedLevelsAreSubtotals="1" fieldPosition="0"/>
    </format>
    <format dxfId="231">
      <pivotArea outline="0" collapsedLevelsAreSubtotals="1" fieldPosition="0"/>
    </format>
    <format dxfId="232">
      <pivotArea grandRow="1"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1157B0-F1AA-4EFB-86CA-4FFF90223F3F}" name="Sales_Person_revenue" cacheId="3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rowHeaderCaption="Sales Person">
  <location ref="A14:B22" firstHeaderRow="1" firstDataRow="1" firstDataCol="1"/>
  <pivotFields count="16">
    <pivotField showAll="0"/>
    <pivotField axis="axisRow" showAll="0" measureFilter="1" sortType="descending">
      <items count="12">
        <item x="4"/>
        <item x="1"/>
        <item x="7"/>
        <item x="0"/>
        <item x="3"/>
        <item x="10"/>
        <item x="6"/>
        <item x="8"/>
        <item x="9"/>
        <item x="2"/>
        <item x="5"/>
        <item t="default"/>
      </items>
      <autoSortScope>
        <pivotArea dataOnly="0" outline="0" fieldPosition="0">
          <references count="1">
            <reference field="4294967294" count="1" selected="0">
              <x v="0"/>
            </reference>
          </references>
        </pivotArea>
      </autoSortScope>
    </pivotField>
    <pivotField showAll="0"/>
    <pivotField showAll="0">
      <items count="8">
        <item x="5"/>
        <item h="1" x="1"/>
        <item x="2"/>
        <item x="3"/>
        <item x="6"/>
        <item x="4"/>
        <item x="0"/>
        <item t="default"/>
      </items>
    </pivotField>
    <pivotField showAll="0"/>
    <pivotField showAll="0"/>
    <pivotField showAll="0"/>
    <pivotField showAll="0"/>
    <pivotField dataField="1" showAll="0"/>
    <pivotField showAll="0"/>
    <pivotField showAll="0">
      <items count="6">
        <item h="1" x="3"/>
        <item h="1" x="0"/>
        <item x="1"/>
        <item h="1" x="4"/>
        <item h="1" x="2"/>
        <item t="default"/>
      </items>
    </pivotField>
    <pivotField showAll="0"/>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3">
        <item x="0"/>
        <item x="1"/>
        <item t="default"/>
      </items>
    </pivotField>
    <pivotField showAll="0"/>
  </pivotFields>
  <rowFields count="1">
    <field x="1"/>
  </rowFields>
  <rowItems count="8">
    <i>
      <x v="4"/>
    </i>
    <i>
      <x v="9"/>
    </i>
    <i>
      <x v="3"/>
    </i>
    <i>
      <x/>
    </i>
    <i>
      <x v="6"/>
    </i>
    <i>
      <x v="1"/>
    </i>
    <i>
      <x v="5"/>
    </i>
    <i t="grand">
      <x/>
    </i>
  </rowItems>
  <colItems count="1">
    <i/>
  </colItems>
  <dataFields count="1">
    <dataField name="Total Revenue" fld="8" baseField="0" baseItem="0" numFmtId="164"/>
  </dataFields>
  <formats count="3">
    <format dxfId="250">
      <pivotArea outline="0" collapsedLevelsAreSubtotals="1" fieldPosition="0"/>
    </format>
    <format dxfId="249">
      <pivotArea outline="0" collapsedLevelsAreSubtotals="1" fieldPosition="0"/>
    </format>
    <format dxfId="233">
      <pivotArea grandRow="1"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97463-0FD7-4EED-AB18-53E5EA807E5F}" name="Country_Qty_VS_Profit"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ountry">
  <location ref="A1:C3" firstHeaderRow="0" firstDataRow="1" firstDataCol="1"/>
  <pivotFields count="16">
    <pivotField showAll="0"/>
    <pivotField showAll="0"/>
    <pivotField showAll="0"/>
    <pivotField showAll="0">
      <items count="8">
        <item x="5"/>
        <item h="1" x="1"/>
        <item x="2"/>
        <item x="3"/>
        <item x="6"/>
        <item x="4"/>
        <item x="0"/>
        <item t="default"/>
      </items>
    </pivotField>
    <pivotField showAll="0"/>
    <pivotField showAll="0"/>
    <pivotField dataField="1" showAll="0"/>
    <pivotField showAll="0"/>
    <pivotField showAll="0"/>
    <pivotField dataField="1" showAll="0"/>
    <pivotField axis="axisRow" showAll="0" sortType="descending">
      <items count="6">
        <item h="1" x="3"/>
        <item h="1" x="0"/>
        <item x="1"/>
        <item h="1" x="4"/>
        <item h="1" x="2"/>
        <item t="default"/>
      </items>
      <autoSortScope>
        <pivotArea dataOnly="0" outline="0" fieldPosition="0">
          <references count="1">
            <reference field="4294967294" count="1" selected="0">
              <x v="1"/>
            </reference>
          </references>
        </pivotArea>
      </autoSortScope>
    </pivotField>
    <pivotField showAll="0"/>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3">
        <item x="0"/>
        <item x="1"/>
        <item t="default"/>
      </items>
    </pivotField>
    <pivotField showAll="0"/>
  </pivotFields>
  <rowFields count="1">
    <field x="10"/>
  </rowFields>
  <rowItems count="2">
    <i>
      <x v="2"/>
    </i>
    <i t="grand">
      <x/>
    </i>
  </rowItems>
  <colFields count="1">
    <field x="-2"/>
  </colFields>
  <colItems count="2">
    <i>
      <x/>
    </i>
    <i i="1">
      <x v="1"/>
    </i>
  </colItems>
  <dataFields count="2">
    <dataField name="Total Quanity" fld="6" baseField="0" baseItem="0" numFmtId="165"/>
    <dataField name="Total Profit" fld="9" baseField="0" baseItem="0" numFmtId="164"/>
  </dataFields>
  <formats count="5">
    <format dxfId="254">
      <pivotArea outline="0" collapsedLevelsAreSubtotals="1" fieldPosition="0">
        <references count="1">
          <reference field="4294967294" count="1" selected="0">
            <x v="0"/>
          </reference>
        </references>
      </pivotArea>
    </format>
    <format dxfId="253">
      <pivotArea outline="0" collapsedLevelsAreSubtotals="1" fieldPosition="0">
        <references count="1">
          <reference field="4294967294" count="1" selected="0">
            <x v="1"/>
          </reference>
        </references>
      </pivotArea>
    </format>
    <format dxfId="252">
      <pivotArea dataOnly="0" labelOnly="1" outline="0" fieldPosition="0">
        <references count="1">
          <reference field="4294967294" count="1">
            <x v="0"/>
          </reference>
        </references>
      </pivotArea>
    </format>
    <format dxfId="251">
      <pivotArea dataOnly="0" labelOnly="1" outline="0" fieldPosition="0">
        <references count="1">
          <reference field="4294967294" count="1">
            <x v="1"/>
          </reference>
        </references>
      </pivotArea>
    </format>
    <format dxfId="234">
      <pivotArea field="10" grandRow="1" outline="0" collapsedLevelsAreSubtotals="1" axis="axisRow" fieldPosition="0">
        <references count="1">
          <reference field="4294967294" count="1" selected="0">
            <x v="1"/>
          </reference>
        </references>
      </pivotArea>
    </format>
  </formats>
  <chartFormats count="4">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19ADAC-E1FA-4AB5-81B8-DBD0F290461C}" name="Profit_per_Year_Month" cacheId="31" applyNumberFormats="0" applyBorderFormats="0" applyFontFormats="0" applyPatternFormats="0" applyAlignmentFormats="0" applyWidthHeightFormats="1" dataCaption="Values" grandTotalCaption="Total Profit" updatedVersion="8" minRefreshableVersion="3" useAutoFormatting="1" rowGrandTotals="0" colGrandTotals="0" itemPrintTitles="1" createdVersion="8" indent="0" showHeaders="0" outline="1" outlineData="1" multipleFieldFilters="0" chartFormat="20" rowHeaderCaption="Territories">
  <location ref="A22:D35" firstHeaderRow="1" firstDataRow="2" firstDataCol="1"/>
  <pivotFields count="16">
    <pivotField showAll="0"/>
    <pivotField showAll="0"/>
    <pivotField showAll="0"/>
    <pivotField showAll="0">
      <items count="8">
        <item x="5"/>
        <item h="1" x="1"/>
        <item x="2"/>
        <item x="3"/>
        <item x="6"/>
        <item x="4"/>
        <item x="0"/>
        <item t="default"/>
      </items>
    </pivotField>
    <pivotField showAll="0"/>
    <pivotField showAll="0"/>
    <pivotField showAll="0"/>
    <pivotField showAll="0"/>
    <pivotField showAll="0"/>
    <pivotField dataField="1" showAll="0"/>
    <pivotField showAll="0">
      <items count="6">
        <item h="1" x="3"/>
        <item h="1" x="0"/>
        <item x="1"/>
        <item h="1" x="4"/>
        <item h="1" x="2"/>
        <item t="default"/>
      </items>
    </pivotField>
    <pivotField showAll="0"/>
    <pivotField showAll="0">
      <items count="13">
        <item x="0"/>
        <item x="1"/>
        <item x="2"/>
        <item x="3"/>
        <item x="4"/>
        <item x="5"/>
        <item x="6"/>
        <item x="7"/>
        <item x="8"/>
        <item x="9"/>
        <item x="10"/>
        <item x="11"/>
        <item t="default"/>
      </items>
    </pivotField>
    <pivotField axis="axisCol" showAll="0">
      <items count="4">
        <item x="2"/>
        <item x="1"/>
        <item x="0"/>
        <item t="default"/>
      </items>
    </pivotField>
    <pivotField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15"/>
  </rowFields>
  <rowItems count="12">
    <i>
      <x/>
    </i>
    <i>
      <x v="1"/>
    </i>
    <i>
      <x v="2"/>
    </i>
    <i>
      <x v="3"/>
    </i>
    <i>
      <x v="4"/>
    </i>
    <i>
      <x v="5"/>
    </i>
    <i>
      <x v="6"/>
    </i>
    <i>
      <x v="7"/>
    </i>
    <i>
      <x v="8"/>
    </i>
    <i>
      <x v="9"/>
    </i>
    <i>
      <x v="10"/>
    </i>
    <i>
      <x v="11"/>
    </i>
  </rowItems>
  <colFields count="1">
    <field x="13"/>
  </colFields>
  <colItems count="3">
    <i>
      <x/>
    </i>
    <i>
      <x v="1"/>
    </i>
    <i>
      <x v="2"/>
    </i>
  </colItems>
  <dataFields count="1">
    <dataField name=" " fld="9" baseField="0" baseItem="0" numFmtId="164"/>
  </dataFields>
  <formats count="3">
    <format dxfId="242">
      <pivotArea outline="0" collapsedLevelsAreSubtotals="1" fieldPosition="0"/>
    </format>
    <format dxfId="241">
      <pivotArea dataOnly="0" labelOnly="1" grandCol="1" outline="0" fieldPosition="0"/>
    </format>
    <format dxfId="240">
      <pivotArea dataOnly="0" labelOnly="1" fieldPosition="0">
        <references count="1">
          <reference field="13" count="0"/>
        </references>
      </pivotArea>
    </format>
  </formats>
  <chartFormats count="8">
    <chartFormat chart="16" format="24" series="1">
      <pivotArea type="data" outline="0" fieldPosition="0">
        <references count="2">
          <reference field="4294967294" count="1" selected="0">
            <x v="0"/>
          </reference>
          <reference field="13" count="1" selected="0">
            <x v="0"/>
          </reference>
        </references>
      </pivotArea>
    </chartFormat>
    <chartFormat chart="16" format="25" series="1">
      <pivotArea type="data" outline="0" fieldPosition="0">
        <references count="2">
          <reference field="4294967294" count="1" selected="0">
            <x v="0"/>
          </reference>
          <reference field="13" count="1" selected="0">
            <x v="1"/>
          </reference>
        </references>
      </pivotArea>
    </chartFormat>
    <chartFormat chart="16" format="26" series="1">
      <pivotArea type="data" outline="0" fieldPosition="0">
        <references count="2">
          <reference field="4294967294" count="1" selected="0">
            <x v="0"/>
          </reference>
          <reference field="13" count="1" selected="0">
            <x v="2"/>
          </reference>
        </references>
      </pivotArea>
    </chartFormat>
    <chartFormat chart="19" format="30" series="1">
      <pivotArea type="data" outline="0" fieldPosition="0">
        <references count="2">
          <reference field="4294967294" count="1" selected="0">
            <x v="0"/>
          </reference>
          <reference field="13" count="1" selected="0">
            <x v="0"/>
          </reference>
        </references>
      </pivotArea>
    </chartFormat>
    <chartFormat chart="19" format="31" series="1">
      <pivotArea type="data" outline="0" fieldPosition="0">
        <references count="2">
          <reference field="4294967294" count="1" selected="0">
            <x v="0"/>
          </reference>
          <reference field="13" count="1" selected="0">
            <x v="1"/>
          </reference>
        </references>
      </pivotArea>
    </chartFormat>
    <chartFormat chart="19" format="32" series="1">
      <pivotArea type="data" outline="0" fieldPosition="0">
        <references count="2">
          <reference field="4294967294" count="1" selected="0">
            <x v="0"/>
          </reference>
          <reference field="13" count="1" selected="0">
            <x v="2"/>
          </reference>
        </references>
      </pivotArea>
    </chartFormat>
    <chartFormat chart="19" format="33" series="1">
      <pivotArea type="data" outline="0" fieldPosition="0">
        <references count="1">
          <reference field="4294967294" count="1" selected="0">
            <x v="0"/>
          </reference>
        </references>
      </pivotArea>
    </chartFormat>
    <chartFormat chart="16"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5DC25D-FBC1-48E2-BC6A-F170FA004F8E}" name="Country_VS_profit" cacheId="3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15" rowHeaderCaption="Territories">
  <location ref="A3:B4" firstHeaderRow="1" firstDataRow="1" firstDataCol="1"/>
  <pivotFields count="16">
    <pivotField showAll="0"/>
    <pivotField showAll="0"/>
    <pivotField showAll="0"/>
    <pivotField showAll="0">
      <items count="8">
        <item x="5"/>
        <item h="1" x="1"/>
        <item x="2"/>
        <item x="3"/>
        <item x="6"/>
        <item x="4"/>
        <item x="0"/>
        <item t="default"/>
      </items>
    </pivotField>
    <pivotField showAll="0"/>
    <pivotField showAll="0"/>
    <pivotField showAll="0"/>
    <pivotField showAll="0"/>
    <pivotField showAll="0"/>
    <pivotField dataField="1" showAll="0"/>
    <pivotField axis="axisRow" showAll="0">
      <items count="6">
        <item h="1" x="3"/>
        <item h="1" x="0"/>
        <item x="1"/>
        <item h="1" x="4"/>
        <item h="1" x="2"/>
        <item t="default"/>
      </items>
    </pivotField>
    <pivotField showAll="0"/>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3">
        <item x="0"/>
        <item x="1"/>
        <item t="default"/>
      </items>
    </pivotField>
    <pivotField showAll="0"/>
  </pivotFields>
  <rowFields count="1">
    <field x="10"/>
  </rowFields>
  <rowItems count="1">
    <i>
      <x v="2"/>
    </i>
  </rowItems>
  <colItems count="1">
    <i/>
  </colItems>
  <dataFields count="1">
    <dataField name="Country" fld="9" baseField="0" baseItem="0" numFmtId="164"/>
  </dataFields>
  <formats count="1">
    <format dxfId="243">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7E1462-B945-49E1-854D-496067A3A8A1}" name="PivotTable2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rands">
  <location ref="F22:G30" firstHeaderRow="1" firstDataRow="1" firstDataCol="1"/>
  <pivotFields count="16">
    <pivotField showAll="0"/>
    <pivotField showAll="0"/>
    <pivotField showAll="0"/>
    <pivotField axis="axisRow" showAll="0">
      <items count="8">
        <item x="5"/>
        <item x="1"/>
        <item x="2"/>
        <item x="3"/>
        <item x="6"/>
        <item x="4"/>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Profit Made" fld="9" baseField="0" baseItem="0"/>
  </dataFields>
  <formats count="1">
    <format dxfId="244">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AAD898-93B1-4CCB-822F-61AF681DE664}" name="PivotTable24" cacheId="3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12" rowHeaderCaption="Territories">
  <location ref="A38:B44" firstHeaderRow="1" firstDataRow="1" firstDataCol="1"/>
  <pivotFields count="16">
    <pivotField showAll="0"/>
    <pivotField showAll="0"/>
    <pivotField showAll="0"/>
    <pivotField axis="axisRow" showAll="0" sortType="descending">
      <items count="8">
        <item x="5"/>
        <item h="1" x="1"/>
        <item x="2"/>
        <item x="3"/>
        <item x="6"/>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6">
        <item h="1" x="3"/>
        <item h="1" x="0"/>
        <item x="1"/>
        <item h="1" x="4"/>
        <item h="1" x="2"/>
        <item t="default"/>
      </items>
    </pivotField>
    <pivotField showAll="0"/>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3">
        <item x="0"/>
        <item x="1"/>
        <item t="default"/>
      </items>
    </pivotField>
    <pivotField showAll="0"/>
  </pivotFields>
  <rowFields count="1">
    <field x="3"/>
  </rowFields>
  <rowItems count="6">
    <i>
      <x v="3"/>
    </i>
    <i>
      <x v="5"/>
    </i>
    <i>
      <x v="6"/>
    </i>
    <i>
      <x v="2"/>
    </i>
    <i>
      <x/>
    </i>
    <i>
      <x v="4"/>
    </i>
  </rowItems>
  <colItems count="1">
    <i/>
  </colItems>
  <dataFields count="1">
    <dataField name="Total Quanity" fld="6" baseField="0" baseItem="0" numFmtId="165"/>
  </dataFields>
  <formats count="2">
    <format dxfId="246">
      <pivotArea outline="0" collapsedLevelsAreSubtotals="1" fieldPosition="0"/>
    </format>
    <format dxfId="2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6FF4A8-81D5-4A5D-B957-BFFFCB557E09}" name="Profit_Per_Territory" cacheId="31"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6" rowHeaderCaption="Territories">
  <location ref="A15:E17" firstHeaderRow="1" firstDataRow="2" firstDataCol="1"/>
  <pivotFields count="16">
    <pivotField showAll="0"/>
    <pivotField showAll="0"/>
    <pivotField showAll="0"/>
    <pivotField showAll="0">
      <items count="8">
        <item x="5"/>
        <item h="1" x="1"/>
        <item x="2"/>
        <item x="3"/>
        <item x="6"/>
        <item x="4"/>
        <item x="0"/>
        <item t="default"/>
      </items>
    </pivotField>
    <pivotField showAll="0"/>
    <pivotField showAll="0"/>
    <pivotField showAll="0"/>
    <pivotField showAll="0"/>
    <pivotField showAll="0"/>
    <pivotField dataField="1" showAll="0"/>
    <pivotField showAll="0">
      <items count="6">
        <item h="1" x="3"/>
        <item h="1" x="0"/>
        <item x="1"/>
        <item h="1" x="4"/>
        <item h="1" x="2"/>
        <item t="default"/>
      </items>
    </pivotField>
    <pivotField showAll="0"/>
    <pivotField showAll="0">
      <items count="13">
        <item x="0"/>
        <item x="1"/>
        <item x="2"/>
        <item x="3"/>
        <item x="4"/>
        <item x="5"/>
        <item x="6"/>
        <item x="7"/>
        <item x="8"/>
        <item x="9"/>
        <item x="10"/>
        <item x="11"/>
        <item t="default"/>
      </items>
    </pivotField>
    <pivotField axis="axisCol" showAll="0">
      <items count="4">
        <item x="2"/>
        <item x="1"/>
        <item x="0"/>
        <item t="default"/>
      </items>
    </pivotField>
    <pivotField axis="axisRow" showAll="0">
      <items count="3">
        <item x="0"/>
        <item x="1"/>
        <item t="default"/>
      </items>
    </pivotField>
    <pivotField showAll="0"/>
  </pivotFields>
  <rowFields count="1">
    <field x="14"/>
  </rowFields>
  <rowItems count="1">
    <i>
      <x/>
    </i>
  </rowItems>
  <colFields count="1">
    <field x="13"/>
  </colFields>
  <colItems count="4">
    <i>
      <x/>
    </i>
    <i>
      <x v="1"/>
    </i>
    <i>
      <x v="2"/>
    </i>
    <i t="grand">
      <x/>
    </i>
  </colItems>
  <dataFields count="1">
    <dataField name=" " fld="9" baseField="0" baseItem="0" numFmtId="164"/>
  </dataFields>
  <formats count="2">
    <format dxfId="248">
      <pivotArea outline="0" collapsedLevelsAreSubtotals="1" fieldPosition="0"/>
    </format>
    <format dxfId="247">
      <pivotArea dataOnly="0" labelOnly="1" grandCol="1" outline="0" fieldPosition="0"/>
    </format>
  </formats>
  <chartFormats count="6">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2"/>
          </reference>
        </references>
      </pivotArea>
    </chartFormat>
    <chartFormat chart="13" format="12" series="1">
      <pivotArea type="data" outline="0" fieldPosition="0">
        <references count="2">
          <reference field="4294967294" count="1" selected="0">
            <x v="0"/>
          </reference>
          <reference field="13" count="1" selected="0">
            <x v="0"/>
          </reference>
        </references>
      </pivotArea>
    </chartFormat>
    <chartFormat chart="13" format="13" series="1">
      <pivotArea type="data" outline="0" fieldPosition="0">
        <references count="2">
          <reference field="4294967294" count="1" selected="0">
            <x v="0"/>
          </reference>
          <reference field="13" count="1" selected="0">
            <x v="1"/>
          </reference>
        </references>
      </pivotArea>
    </chartFormat>
    <chartFormat chart="13"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FBB492-A4FD-4BE2-A209-8396C3F369B4}" name="Region_VS_Qty"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7:B24" firstHeaderRow="1" firstDataRow="1" firstDataCol="1"/>
  <pivotFields count="16">
    <pivotField showAll="0"/>
    <pivotField showAll="0"/>
    <pivotField showAll="0"/>
    <pivotField showAll="0" sortType="ascending">
      <items count="8">
        <item x="5"/>
        <item h="1" x="1"/>
        <item x="2"/>
        <item x="3"/>
        <item x="6"/>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6">
        <item h="1" x="3"/>
        <item h="1" x="0"/>
        <item x="1"/>
        <item h="1" x="4"/>
        <item h="1" x="2"/>
        <item t="default"/>
      </items>
    </pivotField>
    <pivotField axis="axisRow"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3">
        <item x="0"/>
        <item x="1"/>
        <item t="default"/>
      </items>
    </pivotField>
    <pivotField showAll="0"/>
  </pivotFields>
  <rowFields count="1">
    <field x="11"/>
  </rowFields>
  <rowItems count="7">
    <i>
      <x/>
    </i>
    <i>
      <x v="1"/>
    </i>
    <i>
      <x v="2"/>
    </i>
    <i>
      <x v="3"/>
    </i>
    <i>
      <x v="4"/>
    </i>
    <i>
      <x v="5"/>
    </i>
    <i t="grand">
      <x/>
    </i>
  </rowItems>
  <colItems count="1">
    <i/>
  </colItems>
  <dataFields count="1">
    <dataField name="Total Quantity" fld="6" baseField="0" baseItem="0" numFmtId="165"/>
  </dataFields>
  <formats count="2">
    <format dxfId="237">
      <pivotArea dataOnly="0" labelOnly="1" outline="0" axis="axisValues" fieldPosition="0"/>
    </format>
    <format dxfId="2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C71246-8137-4148-8109-9A38F67FDE2A}" name="Beer_Products_VS_Qty" cacheId="3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Beer Products ">
  <location ref="A1:B7" firstHeaderRow="1" firstDataRow="1" firstDataCol="1"/>
  <pivotFields count="16">
    <pivotField showAll="0"/>
    <pivotField showAll="0"/>
    <pivotField showAll="0"/>
    <pivotField axis="axisRow" showAll="0" sortType="ascending">
      <items count="8">
        <item x="5"/>
        <item h="1" x="1"/>
        <item x="2"/>
        <item x="3"/>
        <item x="6"/>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6">
        <item h="1" x="3"/>
        <item h="1" x="0"/>
        <item x="1"/>
        <item h="1" x="4"/>
        <item h="1" x="2"/>
        <item t="default"/>
      </items>
    </pivotField>
    <pivotField showAll="0"/>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3">
        <item x="0"/>
        <item x="1"/>
        <item t="default"/>
      </items>
    </pivotField>
    <pivotField showAll="0"/>
  </pivotFields>
  <rowFields count="1">
    <field x="3"/>
  </rowFields>
  <rowItems count="6">
    <i>
      <x v="4"/>
    </i>
    <i>
      <x/>
    </i>
    <i>
      <x v="2"/>
    </i>
    <i>
      <x v="6"/>
    </i>
    <i>
      <x v="5"/>
    </i>
    <i>
      <x v="3"/>
    </i>
  </rowItems>
  <colItems count="1">
    <i/>
  </colItems>
  <dataFields count="1">
    <dataField name="Total Quantity" fld="6" baseField="0" baseItem="0" numFmtId="165"/>
  </dataFields>
  <formats count="2">
    <format dxfId="239">
      <pivotArea dataOnly="0" labelOnly="1" outline="0" axis="axisValues" fieldPosition="0"/>
    </format>
    <format dxfId="23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IES" xr10:uid="{740E893C-C328-4985-9C20-4574211473F1}" sourceName="TERRITORIES">
  <pivotTables>
    <pivotTable tabId="7" name="Country_Qty_VS_Profit"/>
    <pivotTable tabId="6" name="Beer_Products_VS_Qty"/>
    <pivotTable tabId="6" name="Region_VS_Qty"/>
    <pivotTable tabId="7" name="Sales_Person_revenue"/>
    <pivotTable tabId="8" name="Country_VS_profit"/>
    <pivotTable tabId="8" name="PivotTable24"/>
    <pivotTable tabId="8" name="Profit_Per_Territory"/>
    <pivotTable tabId="8" name="Profit_per_Year_Month"/>
    <pivotTable tabId="7" name="PivotTable1"/>
  </pivotTables>
  <data>
    <tabular pivotCacheId="1831708967">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6CCB0A5-7B31-4ED7-B196-C3820CE2B1A5}" sourceName="YEARS">
  <pivotTables>
    <pivotTable tabId="7" name="Country_Qty_VS_Profit"/>
    <pivotTable tabId="6" name="Beer_Products_VS_Qty"/>
    <pivotTable tabId="6" name="Region_VS_Qty"/>
    <pivotTable tabId="7" name="Sales_Person_revenue"/>
    <pivotTable tabId="8" name="Country_VS_profit"/>
    <pivotTable tabId="8" name="PivotTable24"/>
    <pivotTable tabId="8" name="Profit_Per_Territory"/>
    <pivotTable tabId="8" name="Profit_per_Year_Month"/>
    <pivotTable tabId="7" name="PivotTable1"/>
  </pivotTables>
  <data>
    <tabular pivotCacheId="183170896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9BF470C-1CA6-4BEF-A792-D9A2CA0E1B83}" sourceName="MONTHS">
  <pivotTables>
    <pivotTable tabId="7" name="Country_Qty_VS_Profit"/>
    <pivotTable tabId="6" name="Beer_Products_VS_Qty"/>
    <pivotTable tabId="6" name="Region_VS_Qty"/>
    <pivotTable tabId="7" name="Sales_Person_revenue"/>
    <pivotTable tabId="8" name="Country_VS_profit"/>
    <pivotTable tabId="8" name="PivotTable24"/>
    <pivotTable tabId="8" name="Profit_Per_Territory"/>
    <pivotTable tabId="8" name="Profit_per_Year_Month"/>
    <pivotTable tabId="7" name="PivotTable1"/>
  </pivotTables>
  <data>
    <tabular pivotCacheId="1831708967">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 xr10:uid="{E0C9D119-ECDD-460E-9C98-7FECC7DD2B36}" sourceName="COUNTRIES">
  <pivotTables>
    <pivotTable tabId="7" name="Country_Qty_VS_Profit"/>
    <pivotTable tabId="6" name="Beer_Products_VS_Qty"/>
    <pivotTable tabId="6" name="Region_VS_Qty"/>
    <pivotTable tabId="7" name="Sales_Person_revenue"/>
    <pivotTable tabId="8" name="Country_VS_profit"/>
    <pivotTable tabId="8" name="PivotTable24"/>
    <pivotTable tabId="8" name="Profit_Per_Territory"/>
    <pivotTable tabId="8" name="Profit_per_Year_Month"/>
    <pivotTable tabId="7" name="PivotTable1"/>
  </pivotTables>
  <data>
    <tabular pivotCacheId="1831708967">
      <items count="5">
        <i x="3"/>
        <i x="0"/>
        <i x="1" s="1"/>
        <i x="4"/>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S" xr10:uid="{968CFEEE-98FF-4E78-A0D4-F90F97C9A1B5}" sourceName="BRANDS">
  <pivotTables>
    <pivotTable tabId="7" name="Country_Qty_VS_Profit"/>
    <pivotTable tabId="6" name="Beer_Products_VS_Qty"/>
    <pivotTable tabId="6" name="Region_VS_Qty"/>
    <pivotTable tabId="7" name="Sales_Person_revenue"/>
    <pivotTable tabId="8" name="Country_VS_profit"/>
    <pivotTable tabId="8" name="PivotTable24"/>
    <pivotTable tabId="8" name="Profit_Per_Territory"/>
    <pivotTable tabId="8" name="Profit_per_Year_Month"/>
    <pivotTable tabId="7" name="PivotTable1"/>
  </pivotTables>
  <data>
    <tabular pivotCacheId="1831708967">
      <items count="7">
        <i x="5" s="1"/>
        <i x="1"/>
        <i x="2"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IES 1" xr10:uid="{0A0A918C-D5D9-4C7B-BE62-4597EF6BE232}" cache="Slicer_TERRITORIES" caption="TERRITORIES" style="SlicerStyleLight3" rowHeight="220133"/>
  <slicer name="YEARS 1" xr10:uid="{2F3B9861-08B4-449D-A4DA-3A4D77E19A6C}" cache="Slicer_YEARS" caption="YEARS" style="SlicerStyleLight3" rowHeight="220133"/>
  <slicer name="MONTHS 1" xr10:uid="{ED69DFC7-756A-4BDA-8463-32634ADC6D56}" cache="Slicer_MONTHS" caption="MONTHS" style="SlicerStyleLight3" rowHeight="220133"/>
  <slicer name="COUNTRIES 1" xr10:uid="{0BF0C694-8CDC-435B-A419-65C397E4A40E}" cache="Slicer_COUNTRIES" caption="COUNTRIES" style="SlicerStyleLight3" rowHeight="220133"/>
  <slicer name="BRANDS 1" xr10:uid="{ABAFB8F7-DE9D-4262-975C-8257FD432536}" cache="Slicer_BRANDS" caption="BRANDS" style="SlicerStyleLight3"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FE76F-E0CB-4BE1-8618-63BCE05696C9}" name="Int_breweries" displayName="Int_breweries" ref="A1:P1048" totalsRowShown="0" headerRowDxfId="269" dataDxfId="268">
  <autoFilter ref="A1:P1048" xr:uid="{40DFE76F-E0CB-4BE1-8618-63BCE05696C9}"/>
  <tableColumns count="16">
    <tableColumn id="1" xr3:uid="{7B5803F6-4333-41CB-8FAC-9BED6530C6A1}" name="SALES_ID" dataDxfId="267"/>
    <tableColumn id="2" xr3:uid="{5ACF2042-51F0-4A33-83A1-2B3B4A324492}" name="SALES_REP" dataDxfId="266"/>
    <tableColumn id="3" xr3:uid="{DD48264D-E4C7-436D-9084-EADBCB74377B}" name="EMAILS" dataDxfId="265"/>
    <tableColumn id="4" xr3:uid="{A74B01FF-C82D-47E4-BDFC-7C30EB99A127}" name="BRANDS"/>
    <tableColumn id="5" xr3:uid="{68E8B189-04F8-456F-8D99-A4444C819ED1}" name="PLANT_COST" dataDxfId="264"/>
    <tableColumn id="6" xr3:uid="{1C434AF3-3D75-4A57-AA3D-7DAD5262EBAA}" name="UNIT_PRICE" dataDxfId="263"/>
    <tableColumn id="7" xr3:uid="{5E8CFD29-F921-4054-9C00-315786F876A3}" name="QUANTITY" dataDxfId="262"/>
    <tableColumn id="16" xr3:uid="{81A4756C-C0C8-4B93-8EF3-67F96C60ADCF}" name="SELLING COST" dataDxfId="261">
      <calculatedColumnFormula>Int_breweries[[#This Row],[PLANT_COST]]*Int_breweries[[#This Row],[QUANTITY]]</calculatedColumnFormula>
    </tableColumn>
    <tableColumn id="8" xr3:uid="{D94DCE45-DF1B-44CF-881F-36075421F18D}" name="REVENUE" dataDxfId="260"/>
    <tableColumn id="9" xr3:uid="{62AB6856-A1BE-4255-BD9D-607C85799B42}" name="PROFIT" dataDxfId="259"/>
    <tableColumn id="10" xr3:uid="{6CE6FB41-136F-413F-B40F-4637E070044A}" name="COUNTRIES" dataDxfId="258"/>
    <tableColumn id="11" xr3:uid="{06371497-603A-4773-8AB1-9EAC36181DA3}" name="REGION"/>
    <tableColumn id="12" xr3:uid="{0BDE5526-8175-453E-A152-FE7815912477}" name="MONTHS" dataDxfId="257"/>
    <tableColumn id="13" xr3:uid="{D1BACD14-0462-4DFC-9DE7-258DCC689062}" name="YEARS" dataDxfId="256"/>
    <tableColumn id="14" xr3:uid="{70D96C50-D9CE-4D11-BFCA-75DD5813DE16}" name="TERRITORIES">
      <calculatedColumnFormula array="1">_xlfn.IFS(OR($K2="Ghana", $K2="Nigeria"), "Anglophone", OR($K2="Togo", $K2="Benin", $K2="Senegal"), "Francophone")</calculatedColumnFormula>
    </tableColumn>
    <tableColumn id="15" xr3:uid="{EFF559F5-1C3A-4FFC-91F8-8354198745A4}" name="MONTHS_SHORT" dataDxfId="25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877B-222E-4EB2-995C-03445C102A84}">
  <sheetPr>
    <tabColor rgb="FF174C54"/>
  </sheetPr>
  <dimension ref="A1"/>
  <sheetViews>
    <sheetView showGridLines="0" showRowColHeaders="0" topLeftCell="A2" workbookViewId="0">
      <selection activeCell="E27" sqref="E27"/>
    </sheetView>
  </sheetViews>
  <sheetFormatPr defaultRowHeight="12.5" x14ac:dyDescent="0.25"/>
  <sheetData/>
  <sheetProtection algorithmName="SHA-512" hashValue="dD+prtXIn8Gbrtx2s+McPfObOcf42VBTE2y2rp4JLCJyhVRBH57jd5cPZujRVCe/+8FtGSaOkAaiXACUkD54Lw==" saltValue="5iS4S6kzl10v2SLif24LdA==" spinCount="100000"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9E0AB-D60A-4190-80E7-6FA50FEFE0CD}">
  <sheetPr>
    <tabColor theme="9" tint="-0.249977111117893"/>
  </sheetPr>
  <dimension ref="C10:U51"/>
  <sheetViews>
    <sheetView showGridLines="0" showRowColHeaders="0" zoomScale="52" zoomScaleNormal="100" workbookViewId="0"/>
  </sheetViews>
  <sheetFormatPr defaultRowHeight="12.5" x14ac:dyDescent="0.25"/>
  <cols>
    <col min="2" max="2" width="10.26953125" customWidth="1"/>
    <col min="3" max="3" width="13.7265625" customWidth="1"/>
    <col min="4" max="4" width="43.81640625" customWidth="1"/>
    <col min="5" max="5" width="0.7265625" hidden="1" customWidth="1"/>
    <col min="6" max="6" width="25.26953125" hidden="1" customWidth="1"/>
  </cols>
  <sheetData>
    <row r="10" spans="3:11" ht="19" x14ac:dyDescent="0.4">
      <c r="C10" s="5" t="s">
        <v>53</v>
      </c>
      <c r="D10" s="5" t="s">
        <v>54</v>
      </c>
      <c r="E10" s="4"/>
      <c r="F10" s="4"/>
      <c r="G10" s="5" t="s">
        <v>55</v>
      </c>
      <c r="H10" s="3"/>
      <c r="I10" s="3"/>
      <c r="J10" s="3"/>
      <c r="K10" s="3"/>
    </row>
    <row r="12" spans="3:11" ht="23.5" x14ac:dyDescent="0.25">
      <c r="C12" s="6"/>
    </row>
    <row r="51" spans="21:21" x14ac:dyDescent="0.25">
      <c r="U51" s="2"/>
    </row>
  </sheetData>
  <sheetProtection algorithmName="SHA-512" hashValue="0iJH31wAnCkCQlw/+3AFJ71UnIOeuONtJwaHlE512PqpfkWd3bmHBGZ5fllXUEN/Hh50XmXWUb1TJrXmY8ByiQ==" saltValue="GZZMwSFMhqQe6edtM7AZOw==" spinCount="100000" sheet="1" objects="1" scenarios="1" selectLockedCells="1" selectUnlockedCells="1"/>
  <hyperlinks>
    <hyperlink ref="D10" location="International_Breweries!A1" tooltip="Click here to navigate to data" display="data provided on the next page," xr:uid="{23A77522-D07E-4D04-8044-F0DDF2383C85}"/>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499984740745262"/>
    <outlinePr summaryBelow="0" summaryRight="0"/>
  </sheetPr>
  <dimension ref="A1:V1048"/>
  <sheetViews>
    <sheetView topLeftCell="B1003" workbookViewId="0">
      <selection activeCell="H1041" sqref="H1041"/>
    </sheetView>
  </sheetViews>
  <sheetFormatPr defaultColWidth="14.453125" defaultRowHeight="15.75" customHeight="1" x14ac:dyDescent="0.25"/>
  <cols>
    <col min="1" max="1" width="11.81640625" bestFit="1" customWidth="1"/>
    <col min="2" max="2" width="13.6328125" bestFit="1" customWidth="1"/>
    <col min="3" max="3" width="25.1796875" bestFit="1" customWidth="1"/>
    <col min="4" max="4" width="10.6328125" bestFit="1" customWidth="1"/>
    <col min="5" max="5" width="15.1796875" bestFit="1" customWidth="1"/>
    <col min="6" max="6" width="13.6328125" bestFit="1" customWidth="1"/>
    <col min="7" max="7" width="12.26953125" bestFit="1" customWidth="1"/>
    <col min="8" max="8" width="16.54296875" bestFit="1" customWidth="1"/>
    <col min="9" max="9" width="11.6328125" bestFit="1" customWidth="1"/>
    <col min="10" max="10" width="9.81640625" bestFit="1" customWidth="1"/>
    <col min="11" max="11" width="13.6328125" bestFit="1" customWidth="1"/>
    <col min="12" max="12" width="10.453125" bestFit="1" customWidth="1"/>
    <col min="13" max="13" width="11" bestFit="1" customWidth="1"/>
    <col min="14" max="14" width="9.08984375" bestFit="1" customWidth="1"/>
    <col min="15" max="15" width="15.26953125" bestFit="1" customWidth="1"/>
    <col min="16" max="16" width="18.453125" bestFit="1" customWidth="1"/>
    <col min="18" max="18" width="17.453125" bestFit="1" customWidth="1"/>
    <col min="19" max="19" width="25.1796875" bestFit="1" customWidth="1"/>
  </cols>
  <sheetData>
    <row r="1" spans="1:22" ht="15.75" customHeight="1" x14ac:dyDescent="0.3">
      <c r="A1" s="7" t="s">
        <v>0</v>
      </c>
      <c r="B1" s="7" t="s">
        <v>1</v>
      </c>
      <c r="C1" s="7" t="s">
        <v>2</v>
      </c>
      <c r="D1" s="7" t="s">
        <v>3</v>
      </c>
      <c r="E1" s="7" t="s">
        <v>4</v>
      </c>
      <c r="F1" s="7" t="s">
        <v>5</v>
      </c>
      <c r="G1" s="7" t="s">
        <v>6</v>
      </c>
      <c r="H1" s="7" t="s">
        <v>97</v>
      </c>
      <c r="I1" s="7" t="s">
        <v>57</v>
      </c>
      <c r="J1" s="7" t="s">
        <v>7</v>
      </c>
      <c r="K1" s="7" t="s">
        <v>8</v>
      </c>
      <c r="L1" s="7" t="s">
        <v>9</v>
      </c>
      <c r="M1" s="7" t="s">
        <v>10</v>
      </c>
      <c r="N1" s="7" t="s">
        <v>11</v>
      </c>
      <c r="O1" s="7" t="s">
        <v>70</v>
      </c>
      <c r="P1" s="7" t="s">
        <v>76</v>
      </c>
      <c r="S1" s="8"/>
      <c r="T1" s="8"/>
      <c r="U1" s="8"/>
      <c r="V1" s="8"/>
    </row>
    <row r="2" spans="1:22" ht="15.75" customHeight="1" x14ac:dyDescent="0.25">
      <c r="A2" s="1">
        <v>10101</v>
      </c>
      <c r="B2" s="1" t="s">
        <v>12</v>
      </c>
      <c r="C2" s="1" t="s">
        <v>13</v>
      </c>
      <c r="D2" t="s">
        <v>63</v>
      </c>
      <c r="E2" s="1">
        <v>150</v>
      </c>
      <c r="F2" s="1">
        <v>200</v>
      </c>
      <c r="G2" s="1">
        <v>725</v>
      </c>
      <c r="H2" s="1">
        <f>Int_breweries[[#This Row],[PLANT_COST]]*Int_breweries[[#This Row],[QUANTITY]]</f>
        <v>108750</v>
      </c>
      <c r="I2" s="1">
        <v>145000</v>
      </c>
      <c r="J2" s="1">
        <v>36250</v>
      </c>
      <c r="K2" s="1" t="s">
        <v>14</v>
      </c>
      <c r="L2" s="1" t="s">
        <v>15</v>
      </c>
      <c r="M2" s="1" t="s">
        <v>16</v>
      </c>
      <c r="N2" s="1">
        <v>2019</v>
      </c>
      <c r="O2" t="str" cm="1">
        <f t="array" ref="O2">_xlfn.IFS(OR($K2="Ghana", $K2="Nigeria"), "Anglophone", OR($K2="Togo", $K2="Benin", $K2="Senegal"), "Francophone")</f>
        <v>Anglophone</v>
      </c>
      <c r="P2" s="1" t="str">
        <f>LEFT(Int_breweries[[#This Row],[MONTHS]], 3)</f>
        <v>Jan</v>
      </c>
    </row>
    <row r="3" spans="1:22" ht="15.75" customHeight="1" x14ac:dyDescent="0.25">
      <c r="A3" s="1">
        <v>10102</v>
      </c>
      <c r="B3" s="1" t="s">
        <v>17</v>
      </c>
      <c r="C3" s="1" t="s">
        <v>18</v>
      </c>
      <c r="D3" t="s">
        <v>64</v>
      </c>
      <c r="E3" s="1">
        <v>250</v>
      </c>
      <c r="F3" s="1">
        <v>500</v>
      </c>
      <c r="G3" s="1">
        <v>815</v>
      </c>
      <c r="H3" s="1">
        <f>Int_breweries[[#This Row],[PLANT_COST]]*Int_breweries[[#This Row],[QUANTITY]]</f>
        <v>203750</v>
      </c>
      <c r="I3" s="1">
        <v>407500</v>
      </c>
      <c r="J3" s="1">
        <v>203750</v>
      </c>
      <c r="K3" s="1" t="s">
        <v>19</v>
      </c>
      <c r="L3" s="1" t="s">
        <v>20</v>
      </c>
      <c r="M3" s="1" t="s">
        <v>21</v>
      </c>
      <c r="N3" s="1">
        <v>2018</v>
      </c>
      <c r="O3" t="str" cm="1">
        <f t="array" ref="O3">_xlfn.IFS(OR($K3="Ghana", $K3="Nigeria"), "Anglophone", OR($K3="Togo", $K3="Benin", $K3="Senegal"), "Francophone")</f>
        <v>Anglophone</v>
      </c>
      <c r="P3" s="1" t="str">
        <f>LEFT(Int_breweries[[#This Row],[MONTHS]], 3)</f>
        <v>Feb</v>
      </c>
    </row>
    <row r="4" spans="1:22" ht="15.75" customHeight="1" x14ac:dyDescent="0.25">
      <c r="A4" s="1">
        <v>10103</v>
      </c>
      <c r="B4" s="1" t="s">
        <v>22</v>
      </c>
      <c r="C4" s="1" t="s">
        <v>23</v>
      </c>
      <c r="D4" t="s">
        <v>65</v>
      </c>
      <c r="E4" s="1">
        <v>180</v>
      </c>
      <c r="F4" s="1">
        <v>450</v>
      </c>
      <c r="G4" s="1">
        <v>937</v>
      </c>
      <c r="H4" s="1">
        <f>Int_breweries[[#This Row],[PLANT_COST]]*Int_breweries[[#This Row],[QUANTITY]]</f>
        <v>168660</v>
      </c>
      <c r="I4" s="1">
        <v>421650</v>
      </c>
      <c r="J4" s="1">
        <v>252990</v>
      </c>
      <c r="K4" s="1" t="s">
        <v>24</v>
      </c>
      <c r="L4" t="s">
        <v>15</v>
      </c>
      <c r="M4" s="1" t="s">
        <v>25</v>
      </c>
      <c r="N4" s="1">
        <v>2018</v>
      </c>
      <c r="O4" t="str" cm="1">
        <f t="array" ref="O4">_xlfn.IFS(OR($K4="Ghana", $K4="Nigeria"), "Anglophone", OR($K4="Togo", $K4="Benin", $K4="Senegal"), "Francophone")</f>
        <v>Francophone</v>
      </c>
      <c r="P4" s="1" t="str">
        <f>LEFT(Int_breweries[[#This Row],[MONTHS]], 3)</f>
        <v>Mar</v>
      </c>
    </row>
    <row r="5" spans="1:22" ht="15.75" customHeight="1" x14ac:dyDescent="0.25">
      <c r="A5" s="1">
        <v>10104</v>
      </c>
      <c r="B5" s="1" t="s">
        <v>26</v>
      </c>
      <c r="C5" s="1" t="s">
        <v>27</v>
      </c>
      <c r="D5" t="s">
        <v>66</v>
      </c>
      <c r="E5" s="1">
        <v>170</v>
      </c>
      <c r="F5" s="1">
        <v>250</v>
      </c>
      <c r="G5" s="1">
        <v>765</v>
      </c>
      <c r="H5" s="1">
        <f>Int_breweries[[#This Row],[PLANT_COST]]*Int_breweries[[#This Row],[QUANTITY]]</f>
        <v>130050</v>
      </c>
      <c r="I5" s="1">
        <v>191250</v>
      </c>
      <c r="J5" s="1">
        <v>61200</v>
      </c>
      <c r="K5" s="1" t="s">
        <v>28</v>
      </c>
      <c r="L5" t="s">
        <v>58</v>
      </c>
      <c r="M5" s="1" t="s">
        <v>29</v>
      </c>
      <c r="N5" s="1">
        <v>2018</v>
      </c>
      <c r="O5" t="str" cm="1">
        <f t="array" ref="O5">_xlfn.IFS(OR($K5="Ghana", $K5="Nigeria"), "Anglophone", OR($K5="Togo", $K5="Benin", $K5="Senegal"), "Francophone")</f>
        <v>Francophone</v>
      </c>
      <c r="P5" s="1" t="str">
        <f>LEFT(Int_breweries[[#This Row],[MONTHS]], 3)</f>
        <v>Apr</v>
      </c>
    </row>
    <row r="6" spans="1:22" ht="15.75" customHeight="1" x14ac:dyDescent="0.25">
      <c r="A6" s="1">
        <v>10105</v>
      </c>
      <c r="B6" s="1" t="s">
        <v>30</v>
      </c>
      <c r="C6" s="1" t="s">
        <v>31</v>
      </c>
      <c r="D6" t="s">
        <v>67</v>
      </c>
      <c r="E6" s="1">
        <v>150</v>
      </c>
      <c r="F6" s="1">
        <v>200</v>
      </c>
      <c r="G6" s="1">
        <v>836</v>
      </c>
      <c r="H6" s="1">
        <f>Int_breweries[[#This Row],[PLANT_COST]]*Int_breweries[[#This Row],[QUANTITY]]</f>
        <v>125400</v>
      </c>
      <c r="I6" s="1">
        <v>167200</v>
      </c>
      <c r="J6" s="1">
        <v>41800</v>
      </c>
      <c r="K6" s="1" t="s">
        <v>32</v>
      </c>
      <c r="L6" t="s">
        <v>59</v>
      </c>
      <c r="M6" s="1" t="s">
        <v>33</v>
      </c>
      <c r="N6" s="1">
        <v>2017</v>
      </c>
      <c r="O6" t="str" cm="1">
        <f t="array" ref="O6">_xlfn.IFS(OR($K6="Ghana", $K6="Nigeria"), "Anglophone", OR($K6="Togo", $K6="Benin", $K6="Senegal"), "Francophone")</f>
        <v>Francophone</v>
      </c>
      <c r="P6" s="1" t="str">
        <f>LEFT(Int_breweries[[#This Row],[MONTHS]], 3)</f>
        <v>May</v>
      </c>
    </row>
    <row r="7" spans="1:22" ht="15.75" customHeight="1" x14ac:dyDescent="0.25">
      <c r="A7" s="1">
        <v>10106</v>
      </c>
      <c r="B7" s="1" t="s">
        <v>12</v>
      </c>
      <c r="C7" s="1" t="s">
        <v>13</v>
      </c>
      <c r="D7" t="s">
        <v>68</v>
      </c>
      <c r="E7" s="1">
        <v>80</v>
      </c>
      <c r="F7" s="1">
        <v>150</v>
      </c>
      <c r="G7" s="1">
        <v>798</v>
      </c>
      <c r="H7" s="1">
        <f>Int_breweries[[#This Row],[PLANT_COST]]*Int_breweries[[#This Row],[QUANTITY]]</f>
        <v>63840</v>
      </c>
      <c r="I7" s="1">
        <v>119700</v>
      </c>
      <c r="J7" s="1">
        <v>55860</v>
      </c>
      <c r="K7" s="1" t="s">
        <v>14</v>
      </c>
      <c r="L7" t="s">
        <v>60</v>
      </c>
      <c r="M7" s="1" t="s">
        <v>34</v>
      </c>
      <c r="N7" s="1">
        <v>2019</v>
      </c>
      <c r="O7" t="str" cm="1">
        <f t="array" ref="O7">_xlfn.IFS(OR($K7="Ghana", $K7="Nigeria"), "Anglophone", OR($K7="Togo", $K7="Benin", $K7="Senegal"), "Francophone")</f>
        <v>Anglophone</v>
      </c>
      <c r="P7" s="1" t="str">
        <f>LEFT(Int_breweries[[#This Row],[MONTHS]], 3)</f>
        <v>Jun</v>
      </c>
    </row>
    <row r="8" spans="1:22" ht="15.75" customHeight="1" x14ac:dyDescent="0.25">
      <c r="A8" s="1">
        <v>10107</v>
      </c>
      <c r="B8" s="1" t="s">
        <v>35</v>
      </c>
      <c r="C8" s="1" t="s">
        <v>36</v>
      </c>
      <c r="D8" t="s">
        <v>69</v>
      </c>
      <c r="E8" s="1">
        <v>90</v>
      </c>
      <c r="F8" s="1">
        <v>150</v>
      </c>
      <c r="G8" s="1">
        <v>954</v>
      </c>
      <c r="H8" s="1">
        <f>Int_breweries[[#This Row],[PLANT_COST]]*Int_breweries[[#This Row],[QUANTITY]]</f>
        <v>85860</v>
      </c>
      <c r="I8" s="1">
        <v>143100</v>
      </c>
      <c r="J8" s="1">
        <v>57240</v>
      </c>
      <c r="K8" s="1" t="s">
        <v>19</v>
      </c>
      <c r="L8" t="s">
        <v>61</v>
      </c>
      <c r="M8" s="1" t="s">
        <v>37</v>
      </c>
      <c r="N8" s="1">
        <v>2017</v>
      </c>
      <c r="O8" t="str" cm="1">
        <f t="array" ref="O8">_xlfn.IFS(OR($K8="Ghana", $K8="Nigeria"), "Anglophone", OR($K8="Togo", $K8="Benin", $K8="Senegal"), "Francophone")</f>
        <v>Anglophone</v>
      </c>
      <c r="P8" s="1" t="str">
        <f>LEFT(Int_breweries[[#This Row],[MONTHS]], 3)</f>
        <v>Jul</v>
      </c>
    </row>
    <row r="9" spans="1:22" ht="15.75" customHeight="1" x14ac:dyDescent="0.25">
      <c r="A9" s="1">
        <v>10108</v>
      </c>
      <c r="B9" s="1" t="s">
        <v>26</v>
      </c>
      <c r="C9" s="1" t="s">
        <v>27</v>
      </c>
      <c r="D9" t="s">
        <v>63</v>
      </c>
      <c r="E9" s="1">
        <v>150</v>
      </c>
      <c r="F9" s="1">
        <v>200</v>
      </c>
      <c r="G9" s="1">
        <v>812</v>
      </c>
      <c r="H9" s="1">
        <f>Int_breweries[[#This Row],[PLANT_COST]]*Int_breweries[[#This Row],[QUANTITY]]</f>
        <v>121800</v>
      </c>
      <c r="I9" s="1">
        <v>162400</v>
      </c>
      <c r="J9" s="1">
        <v>40600</v>
      </c>
      <c r="K9" s="1" t="s">
        <v>24</v>
      </c>
      <c r="L9" t="s">
        <v>62</v>
      </c>
      <c r="M9" s="1" t="s">
        <v>38</v>
      </c>
      <c r="N9" s="1">
        <v>2018</v>
      </c>
      <c r="O9" t="str" cm="1">
        <f t="array" ref="O9">_xlfn.IFS(OR($K9="Ghana", $K9="Nigeria"), "Anglophone", OR($K9="Togo", $K9="Benin", $K9="Senegal"), "Francophone")</f>
        <v>Francophone</v>
      </c>
      <c r="P9" s="1" t="str">
        <f>LEFT(Int_breweries[[#This Row],[MONTHS]], 3)</f>
        <v>Aug</v>
      </c>
    </row>
    <row r="10" spans="1:22" ht="15.75" customHeight="1" x14ac:dyDescent="0.25">
      <c r="A10" s="1">
        <v>10109</v>
      </c>
      <c r="B10" s="1" t="s">
        <v>39</v>
      </c>
      <c r="C10" s="1" t="s">
        <v>40</v>
      </c>
      <c r="D10" t="s">
        <v>64</v>
      </c>
      <c r="E10" s="1">
        <v>250</v>
      </c>
      <c r="F10" s="1">
        <v>500</v>
      </c>
      <c r="G10" s="1">
        <v>700</v>
      </c>
      <c r="H10" s="1">
        <f>Int_breweries[[#This Row],[PLANT_COST]]*Int_breweries[[#This Row],[QUANTITY]]</f>
        <v>175000</v>
      </c>
      <c r="I10" s="1">
        <v>350000</v>
      </c>
      <c r="J10" s="1">
        <v>175000</v>
      </c>
      <c r="K10" s="1" t="s">
        <v>28</v>
      </c>
      <c r="L10" t="s">
        <v>15</v>
      </c>
      <c r="M10" s="1" t="s">
        <v>41</v>
      </c>
      <c r="N10" s="1">
        <v>2019</v>
      </c>
      <c r="O10" t="str" cm="1">
        <f t="array" ref="O10">_xlfn.IFS(OR($K10="Ghana", $K10="Nigeria"), "Anglophone", OR($K10="Togo", $K10="Benin", $K10="Senegal"), "Francophone")</f>
        <v>Francophone</v>
      </c>
      <c r="P10" s="1" t="str">
        <f>LEFT(Int_breweries[[#This Row],[MONTHS]], 3)</f>
        <v>Sep</v>
      </c>
    </row>
    <row r="11" spans="1:22" ht="15.75" customHeight="1" x14ac:dyDescent="0.25">
      <c r="A11" s="1">
        <v>10110</v>
      </c>
      <c r="B11" s="1" t="s">
        <v>42</v>
      </c>
      <c r="C11" s="1" t="s">
        <v>43</v>
      </c>
      <c r="D11" t="s">
        <v>65</v>
      </c>
      <c r="E11" s="1">
        <v>180</v>
      </c>
      <c r="F11" s="1">
        <v>450</v>
      </c>
      <c r="G11" s="1">
        <v>745</v>
      </c>
      <c r="H11" s="1">
        <f>Int_breweries[[#This Row],[PLANT_COST]]*Int_breweries[[#This Row],[QUANTITY]]</f>
        <v>134100</v>
      </c>
      <c r="I11" s="1">
        <v>335250</v>
      </c>
      <c r="J11" s="1">
        <v>201150</v>
      </c>
      <c r="K11" s="1" t="s">
        <v>32</v>
      </c>
      <c r="L11" t="s">
        <v>58</v>
      </c>
      <c r="M11" s="1" t="s">
        <v>44</v>
      </c>
      <c r="N11" s="1">
        <v>2017</v>
      </c>
      <c r="O11" t="str" cm="1">
        <f t="array" ref="O11">_xlfn.IFS(OR($K11="Ghana", $K11="Nigeria"), "Anglophone", OR($K11="Togo", $K11="Benin", $K11="Senegal"), "Francophone")</f>
        <v>Francophone</v>
      </c>
      <c r="P11" s="1" t="str">
        <f>LEFT(Int_breweries[[#This Row],[MONTHS]], 3)</f>
        <v>Oct</v>
      </c>
    </row>
    <row r="12" spans="1:22" ht="15.75" customHeight="1" x14ac:dyDescent="0.25">
      <c r="A12" s="1">
        <v>10111</v>
      </c>
      <c r="B12" s="1" t="s">
        <v>45</v>
      </c>
      <c r="C12" s="1" t="s">
        <v>46</v>
      </c>
      <c r="D12" t="s">
        <v>66</v>
      </c>
      <c r="E12" s="1">
        <v>170</v>
      </c>
      <c r="F12" s="1">
        <v>250</v>
      </c>
      <c r="G12" s="1">
        <v>861</v>
      </c>
      <c r="H12" s="1">
        <f>Int_breweries[[#This Row],[PLANT_COST]]*Int_breweries[[#This Row],[QUANTITY]]</f>
        <v>146370</v>
      </c>
      <c r="I12" s="1">
        <v>215250</v>
      </c>
      <c r="J12" s="1">
        <v>68880</v>
      </c>
      <c r="K12" s="1" t="s">
        <v>14</v>
      </c>
      <c r="L12" t="s">
        <v>59</v>
      </c>
      <c r="M12" s="1" t="s">
        <v>47</v>
      </c>
      <c r="N12" s="1">
        <v>2017</v>
      </c>
      <c r="O12" t="str" cm="1">
        <f t="array" ref="O12">_xlfn.IFS(OR($K12="Ghana", $K12="Nigeria"), "Anglophone", OR($K12="Togo", $K12="Benin", $K12="Senegal"), "Francophone")</f>
        <v>Anglophone</v>
      </c>
      <c r="P12" s="1" t="str">
        <f>LEFT(Int_breweries[[#This Row],[MONTHS]], 3)</f>
        <v>Nov</v>
      </c>
    </row>
    <row r="13" spans="1:22" ht="15.75" customHeight="1" x14ac:dyDescent="0.25">
      <c r="A13" s="1">
        <v>10112</v>
      </c>
      <c r="B13" s="1" t="s">
        <v>26</v>
      </c>
      <c r="C13" s="1" t="s">
        <v>27</v>
      </c>
      <c r="D13" t="s">
        <v>67</v>
      </c>
      <c r="E13" s="1">
        <v>150</v>
      </c>
      <c r="F13" s="1">
        <v>200</v>
      </c>
      <c r="G13" s="1">
        <v>902</v>
      </c>
      <c r="H13" s="1">
        <f>Int_breweries[[#This Row],[PLANT_COST]]*Int_breweries[[#This Row],[QUANTITY]]</f>
        <v>135300</v>
      </c>
      <c r="I13" s="1">
        <v>180400</v>
      </c>
      <c r="J13" s="1">
        <v>45100</v>
      </c>
      <c r="K13" s="1" t="s">
        <v>19</v>
      </c>
      <c r="L13" t="s">
        <v>60</v>
      </c>
      <c r="M13" s="1" t="s">
        <v>48</v>
      </c>
      <c r="N13" s="1">
        <v>2019</v>
      </c>
      <c r="O13" t="str" cm="1">
        <f t="array" ref="O13">_xlfn.IFS(OR($K13="Ghana", $K13="Nigeria"), "Anglophone", OR($K13="Togo", $K13="Benin", $K13="Senegal"), "Francophone")</f>
        <v>Anglophone</v>
      </c>
      <c r="P13" s="1" t="str">
        <f>LEFT(Int_breweries[[#This Row],[MONTHS]], 3)</f>
        <v>Dec</v>
      </c>
    </row>
    <row r="14" spans="1:22" ht="15.75" customHeight="1" x14ac:dyDescent="0.25">
      <c r="A14" s="1">
        <v>10113</v>
      </c>
      <c r="B14" s="1" t="s">
        <v>49</v>
      </c>
      <c r="C14" s="1" t="s">
        <v>50</v>
      </c>
      <c r="D14" t="s">
        <v>68</v>
      </c>
      <c r="E14" s="1">
        <v>80</v>
      </c>
      <c r="F14" s="1">
        <v>150</v>
      </c>
      <c r="G14" s="1">
        <v>731</v>
      </c>
      <c r="H14" s="1">
        <f>Int_breweries[[#This Row],[PLANT_COST]]*Int_breweries[[#This Row],[QUANTITY]]</f>
        <v>58480</v>
      </c>
      <c r="I14" s="1">
        <v>109650</v>
      </c>
      <c r="J14" s="1">
        <v>51170</v>
      </c>
      <c r="K14" s="1" t="s">
        <v>24</v>
      </c>
      <c r="L14" t="s">
        <v>61</v>
      </c>
      <c r="M14" s="1" t="s">
        <v>16</v>
      </c>
      <c r="N14" s="1">
        <v>2018</v>
      </c>
      <c r="O14" t="str" cm="1">
        <f t="array" ref="O14">_xlfn.IFS(OR($K14="Ghana", $K14="Nigeria"), "Anglophone", OR($K14="Togo", $K14="Benin", $K14="Senegal"), "Francophone")</f>
        <v>Francophone</v>
      </c>
      <c r="P14" s="1" t="str">
        <f>LEFT(Int_breweries[[#This Row],[MONTHS]], 3)</f>
        <v>Jan</v>
      </c>
    </row>
    <row r="15" spans="1:22" ht="15.75" customHeight="1" x14ac:dyDescent="0.25">
      <c r="A15" s="1">
        <v>10114</v>
      </c>
      <c r="B15" s="1" t="s">
        <v>26</v>
      </c>
      <c r="C15" s="1" t="s">
        <v>27</v>
      </c>
      <c r="D15" t="s">
        <v>69</v>
      </c>
      <c r="E15" s="1">
        <v>90</v>
      </c>
      <c r="F15" s="1">
        <v>150</v>
      </c>
      <c r="G15" s="1">
        <v>843</v>
      </c>
      <c r="H15" s="1">
        <f>Int_breweries[[#This Row],[PLANT_COST]]*Int_breweries[[#This Row],[QUANTITY]]</f>
        <v>75870</v>
      </c>
      <c r="I15" s="1">
        <v>126450</v>
      </c>
      <c r="J15" s="1">
        <v>50580</v>
      </c>
      <c r="K15" s="1" t="s">
        <v>28</v>
      </c>
      <c r="L15" t="s">
        <v>62</v>
      </c>
      <c r="M15" s="1" t="s">
        <v>21</v>
      </c>
      <c r="N15" s="1">
        <v>2017</v>
      </c>
      <c r="O15" t="str" cm="1">
        <f t="array" ref="O15">_xlfn.IFS(OR($K15="Ghana", $K15="Nigeria"), "Anglophone", OR($K15="Togo", $K15="Benin", $K15="Senegal"), "Francophone")</f>
        <v>Francophone</v>
      </c>
      <c r="P15" s="1" t="str">
        <f>LEFT(Int_breweries[[#This Row],[MONTHS]], 3)</f>
        <v>Feb</v>
      </c>
    </row>
    <row r="16" spans="1:22" ht="15.75" customHeight="1" x14ac:dyDescent="0.25">
      <c r="A16" s="1">
        <v>10115</v>
      </c>
      <c r="B16" s="1" t="s">
        <v>39</v>
      </c>
      <c r="C16" s="1" t="s">
        <v>40</v>
      </c>
      <c r="D16" t="s">
        <v>63</v>
      </c>
      <c r="E16" s="1">
        <v>150</v>
      </c>
      <c r="F16" s="1">
        <v>200</v>
      </c>
      <c r="G16" s="1">
        <v>939</v>
      </c>
      <c r="H16" s="1">
        <f>Int_breweries[[#This Row],[PLANT_COST]]*Int_breweries[[#This Row],[QUANTITY]]</f>
        <v>140850</v>
      </c>
      <c r="I16" s="1">
        <v>187800</v>
      </c>
      <c r="J16" s="1">
        <v>46950</v>
      </c>
      <c r="K16" s="1" t="s">
        <v>32</v>
      </c>
      <c r="L16" t="s">
        <v>15</v>
      </c>
      <c r="M16" s="1" t="s">
        <v>25</v>
      </c>
      <c r="N16" s="1">
        <v>2018</v>
      </c>
      <c r="O16" t="str" cm="1">
        <f t="array" ref="O16">_xlfn.IFS(OR($K16="Ghana", $K16="Nigeria"), "Anglophone", OR($K16="Togo", $K16="Benin", $K16="Senegal"), "Francophone")</f>
        <v>Francophone</v>
      </c>
      <c r="P16" s="1" t="str">
        <f>LEFT(Int_breweries[[#This Row],[MONTHS]], 3)</f>
        <v>Mar</v>
      </c>
    </row>
    <row r="17" spans="1:16" ht="15.75" customHeight="1" x14ac:dyDescent="0.25">
      <c r="A17" s="1">
        <v>10116</v>
      </c>
      <c r="B17" s="1" t="s">
        <v>26</v>
      </c>
      <c r="C17" s="1" t="s">
        <v>27</v>
      </c>
      <c r="D17" t="s">
        <v>64</v>
      </c>
      <c r="E17" s="1">
        <v>250</v>
      </c>
      <c r="F17" s="1">
        <v>500</v>
      </c>
      <c r="G17" s="1">
        <v>709</v>
      </c>
      <c r="H17" s="1">
        <f>Int_breweries[[#This Row],[PLANT_COST]]*Int_breweries[[#This Row],[QUANTITY]]</f>
        <v>177250</v>
      </c>
      <c r="I17" s="1">
        <v>354500</v>
      </c>
      <c r="J17" s="1">
        <v>177250</v>
      </c>
      <c r="K17" s="1" t="s">
        <v>14</v>
      </c>
      <c r="L17" t="s">
        <v>58</v>
      </c>
      <c r="M17" s="1" t="s">
        <v>29</v>
      </c>
      <c r="N17" s="1">
        <v>2019</v>
      </c>
      <c r="O17" t="str" cm="1">
        <f t="array" ref="O17">_xlfn.IFS(OR($K17="Ghana", $K17="Nigeria"), "Anglophone", OR($K17="Togo", $K17="Benin", $K17="Senegal"), "Francophone")</f>
        <v>Anglophone</v>
      </c>
      <c r="P17" s="1" t="str">
        <f>LEFT(Int_breweries[[#This Row],[MONTHS]], 3)</f>
        <v>Apr</v>
      </c>
    </row>
    <row r="18" spans="1:16" ht="15.75" customHeight="1" x14ac:dyDescent="0.25">
      <c r="A18" s="1">
        <v>10117</v>
      </c>
      <c r="B18" s="1" t="s">
        <v>45</v>
      </c>
      <c r="C18" s="1" t="s">
        <v>46</v>
      </c>
      <c r="D18" t="s">
        <v>65</v>
      </c>
      <c r="E18" s="1">
        <v>180</v>
      </c>
      <c r="F18" s="1">
        <v>450</v>
      </c>
      <c r="G18" s="1">
        <v>837</v>
      </c>
      <c r="H18" s="1">
        <f>Int_breweries[[#This Row],[PLANT_COST]]*Int_breweries[[#This Row],[QUANTITY]]</f>
        <v>150660</v>
      </c>
      <c r="I18" s="1">
        <v>376650</v>
      </c>
      <c r="J18" s="1">
        <v>225990</v>
      </c>
      <c r="K18" s="1" t="s">
        <v>19</v>
      </c>
      <c r="L18" t="s">
        <v>59</v>
      </c>
      <c r="M18" s="1" t="s">
        <v>33</v>
      </c>
      <c r="N18" s="1">
        <v>2017</v>
      </c>
      <c r="O18" t="str" cm="1">
        <f t="array" ref="O18">_xlfn.IFS(OR($K18="Ghana", $K18="Nigeria"), "Anglophone", OR($K18="Togo", $K18="Benin", $K18="Senegal"), "Francophone")</f>
        <v>Anglophone</v>
      </c>
      <c r="P18" s="1" t="str">
        <f>LEFT(Int_breweries[[#This Row],[MONTHS]], 3)</f>
        <v>May</v>
      </c>
    </row>
    <row r="19" spans="1:16" ht="15.75" customHeight="1" x14ac:dyDescent="0.25">
      <c r="A19" s="1">
        <v>10118</v>
      </c>
      <c r="B19" s="1" t="s">
        <v>51</v>
      </c>
      <c r="C19" s="1" t="s">
        <v>52</v>
      </c>
      <c r="D19" t="s">
        <v>66</v>
      </c>
      <c r="E19" s="1">
        <v>170</v>
      </c>
      <c r="F19" s="1">
        <v>250</v>
      </c>
      <c r="G19" s="1">
        <v>910</v>
      </c>
      <c r="H19" s="1">
        <f>Int_breweries[[#This Row],[PLANT_COST]]*Int_breweries[[#This Row],[QUANTITY]]</f>
        <v>154700</v>
      </c>
      <c r="I19" s="1">
        <v>227500</v>
      </c>
      <c r="J19" s="1">
        <v>72800</v>
      </c>
      <c r="K19" s="1" t="s">
        <v>24</v>
      </c>
      <c r="L19" t="s">
        <v>60</v>
      </c>
      <c r="M19" s="1" t="s">
        <v>34</v>
      </c>
      <c r="N19" s="1">
        <v>2018</v>
      </c>
      <c r="O19" t="str" cm="1">
        <f t="array" ref="O19">_xlfn.IFS(OR($K19="Ghana", $K19="Nigeria"), "Anglophone", OR($K19="Togo", $K19="Benin", $K19="Senegal"), "Francophone")</f>
        <v>Francophone</v>
      </c>
      <c r="P19" s="1" t="str">
        <f>LEFT(Int_breweries[[#This Row],[MONTHS]], 3)</f>
        <v>Jun</v>
      </c>
    </row>
    <row r="20" spans="1:16" ht="15.75" customHeight="1" x14ac:dyDescent="0.25">
      <c r="A20" s="1">
        <v>10119</v>
      </c>
      <c r="B20" s="1" t="s">
        <v>49</v>
      </c>
      <c r="C20" s="1" t="s">
        <v>50</v>
      </c>
      <c r="D20" t="s">
        <v>67</v>
      </c>
      <c r="E20" s="1">
        <v>150</v>
      </c>
      <c r="F20" s="1">
        <v>200</v>
      </c>
      <c r="G20" s="1">
        <v>996</v>
      </c>
      <c r="H20" s="1">
        <f>Int_breweries[[#This Row],[PLANT_COST]]*Int_breweries[[#This Row],[QUANTITY]]</f>
        <v>149400</v>
      </c>
      <c r="I20" s="1">
        <v>199200</v>
      </c>
      <c r="J20" s="1">
        <v>49800</v>
      </c>
      <c r="K20" s="1" t="s">
        <v>28</v>
      </c>
      <c r="L20" t="s">
        <v>61</v>
      </c>
      <c r="M20" s="1" t="s">
        <v>37</v>
      </c>
      <c r="N20" s="1">
        <v>2019</v>
      </c>
      <c r="O20" t="str" cm="1">
        <f t="array" ref="O20">_xlfn.IFS(OR($K20="Ghana", $K20="Nigeria"), "Anglophone", OR($K20="Togo", $K20="Benin", $K20="Senegal"), "Francophone")</f>
        <v>Francophone</v>
      </c>
      <c r="P20" s="1" t="str">
        <f>LEFT(Int_breweries[[#This Row],[MONTHS]], 3)</f>
        <v>Jul</v>
      </c>
    </row>
    <row r="21" spans="1:16" ht="15.75" customHeight="1" x14ac:dyDescent="0.25">
      <c r="A21" s="1">
        <v>10120</v>
      </c>
      <c r="B21" s="1" t="s">
        <v>45</v>
      </c>
      <c r="C21" s="1" t="s">
        <v>46</v>
      </c>
      <c r="D21" t="s">
        <v>68</v>
      </c>
      <c r="E21" s="1">
        <v>80</v>
      </c>
      <c r="F21" s="1">
        <v>150</v>
      </c>
      <c r="G21" s="1">
        <v>731</v>
      </c>
      <c r="H21" s="1">
        <f>Int_breweries[[#This Row],[PLANT_COST]]*Int_breweries[[#This Row],[QUANTITY]]</f>
        <v>58480</v>
      </c>
      <c r="I21" s="1">
        <v>109650</v>
      </c>
      <c r="J21" s="1">
        <v>51170</v>
      </c>
      <c r="K21" s="1" t="s">
        <v>32</v>
      </c>
      <c r="L21" t="s">
        <v>62</v>
      </c>
      <c r="M21" s="1" t="s">
        <v>38</v>
      </c>
      <c r="N21" s="1">
        <v>2017</v>
      </c>
      <c r="O21" t="str" cm="1">
        <f t="array" ref="O21">_xlfn.IFS(OR($K21="Ghana", $K21="Nigeria"), "Anglophone", OR($K21="Togo", $K21="Benin", $K21="Senegal"), "Francophone")</f>
        <v>Francophone</v>
      </c>
      <c r="P21" s="1" t="str">
        <f>LEFT(Int_breweries[[#This Row],[MONTHS]], 3)</f>
        <v>Aug</v>
      </c>
    </row>
    <row r="22" spans="1:16" ht="15.75" customHeight="1" x14ac:dyDescent="0.25">
      <c r="A22" s="1">
        <v>10121</v>
      </c>
      <c r="B22" s="1" t="s">
        <v>17</v>
      </c>
      <c r="C22" s="1" t="s">
        <v>18</v>
      </c>
      <c r="D22" t="s">
        <v>69</v>
      </c>
      <c r="E22" s="1">
        <v>90</v>
      </c>
      <c r="F22" s="1">
        <v>150</v>
      </c>
      <c r="G22" s="1">
        <v>898</v>
      </c>
      <c r="H22" s="1">
        <f>Int_breweries[[#This Row],[PLANT_COST]]*Int_breweries[[#This Row],[QUANTITY]]</f>
        <v>80820</v>
      </c>
      <c r="I22" s="1">
        <v>134700</v>
      </c>
      <c r="J22" s="1">
        <v>53880</v>
      </c>
      <c r="K22" s="1" t="s">
        <v>14</v>
      </c>
      <c r="L22" t="s">
        <v>15</v>
      </c>
      <c r="M22" s="1" t="s">
        <v>41</v>
      </c>
      <c r="N22" s="1">
        <v>2017</v>
      </c>
      <c r="O22" t="str" cm="1">
        <f t="array" ref="O22">_xlfn.IFS(OR($K22="Ghana", $K22="Nigeria"), "Anglophone", OR($K22="Togo", $K22="Benin", $K22="Senegal"), "Francophone")</f>
        <v>Anglophone</v>
      </c>
      <c r="P22" s="1" t="str">
        <f>LEFT(Int_breweries[[#This Row],[MONTHS]], 3)</f>
        <v>Sep</v>
      </c>
    </row>
    <row r="23" spans="1:16" ht="12.5" x14ac:dyDescent="0.25">
      <c r="A23" s="1">
        <v>10122</v>
      </c>
      <c r="B23" s="1" t="s">
        <v>49</v>
      </c>
      <c r="C23" s="1" t="s">
        <v>50</v>
      </c>
      <c r="D23" t="s">
        <v>63</v>
      </c>
      <c r="E23" s="1">
        <v>150</v>
      </c>
      <c r="F23" s="1">
        <v>200</v>
      </c>
      <c r="G23" s="1">
        <v>860</v>
      </c>
      <c r="H23" s="1">
        <f>Int_breweries[[#This Row],[PLANT_COST]]*Int_breweries[[#This Row],[QUANTITY]]</f>
        <v>129000</v>
      </c>
      <c r="I23" s="1">
        <v>172000</v>
      </c>
      <c r="J23" s="1">
        <v>43000</v>
      </c>
      <c r="K23" s="1" t="s">
        <v>19</v>
      </c>
      <c r="L23" t="s">
        <v>58</v>
      </c>
      <c r="M23" s="1" t="s">
        <v>44</v>
      </c>
      <c r="N23" s="1">
        <v>2018</v>
      </c>
      <c r="O23" t="str" cm="1">
        <f t="array" ref="O23">_xlfn.IFS(OR($K23="Ghana", $K23="Nigeria"), "Anglophone", OR($K23="Togo", $K23="Benin", $K23="Senegal"), "Francophone")</f>
        <v>Anglophone</v>
      </c>
      <c r="P23" s="1" t="str">
        <f>LEFT(Int_breweries[[#This Row],[MONTHS]], 3)</f>
        <v>Oct</v>
      </c>
    </row>
    <row r="24" spans="1:16" ht="12.5" x14ac:dyDescent="0.25">
      <c r="A24" s="1">
        <v>10123</v>
      </c>
      <c r="B24" s="1" t="s">
        <v>26</v>
      </c>
      <c r="C24" s="1" t="s">
        <v>27</v>
      </c>
      <c r="D24" t="s">
        <v>64</v>
      </c>
      <c r="E24" s="1">
        <v>250</v>
      </c>
      <c r="F24" s="1">
        <v>500</v>
      </c>
      <c r="G24" s="1">
        <v>859</v>
      </c>
      <c r="H24" s="1">
        <f>Int_breweries[[#This Row],[PLANT_COST]]*Int_breweries[[#This Row],[QUANTITY]]</f>
        <v>214750</v>
      </c>
      <c r="I24" s="1">
        <v>429500</v>
      </c>
      <c r="J24" s="1">
        <v>214750</v>
      </c>
      <c r="K24" s="1" t="s">
        <v>24</v>
      </c>
      <c r="L24" t="s">
        <v>59</v>
      </c>
      <c r="M24" s="1" t="s">
        <v>47</v>
      </c>
      <c r="N24" s="1">
        <v>2017</v>
      </c>
      <c r="O24" t="str" cm="1">
        <f t="array" ref="O24">_xlfn.IFS(OR($K24="Ghana", $K24="Nigeria"), "Anglophone", OR($K24="Togo", $K24="Benin", $K24="Senegal"), "Francophone")</f>
        <v>Francophone</v>
      </c>
      <c r="P24" s="1" t="str">
        <f>LEFT(Int_breweries[[#This Row],[MONTHS]], 3)</f>
        <v>Nov</v>
      </c>
    </row>
    <row r="25" spans="1:16" ht="12.5" x14ac:dyDescent="0.25">
      <c r="A25" s="1">
        <v>10124</v>
      </c>
      <c r="B25" s="1" t="s">
        <v>22</v>
      </c>
      <c r="C25" s="1" t="s">
        <v>23</v>
      </c>
      <c r="D25" t="s">
        <v>65</v>
      </c>
      <c r="E25" s="1">
        <v>180</v>
      </c>
      <c r="F25" s="1">
        <v>450</v>
      </c>
      <c r="G25" s="1">
        <v>857</v>
      </c>
      <c r="H25" s="1">
        <f>Int_breweries[[#This Row],[PLANT_COST]]*Int_breweries[[#This Row],[QUANTITY]]</f>
        <v>154260</v>
      </c>
      <c r="I25" s="1">
        <v>385650</v>
      </c>
      <c r="J25" s="1">
        <v>231390</v>
      </c>
      <c r="K25" s="1" t="s">
        <v>28</v>
      </c>
      <c r="L25" t="s">
        <v>60</v>
      </c>
      <c r="M25" s="1" t="s">
        <v>48</v>
      </c>
      <c r="N25" s="1">
        <v>2017</v>
      </c>
      <c r="O25" t="str" cm="1">
        <f t="array" ref="O25">_xlfn.IFS(OR($K25="Ghana", $K25="Nigeria"), "Anglophone", OR($K25="Togo", $K25="Benin", $K25="Senegal"), "Francophone")</f>
        <v>Francophone</v>
      </c>
      <c r="P25" s="1" t="str">
        <f>LEFT(Int_breweries[[#This Row],[MONTHS]], 3)</f>
        <v>Dec</v>
      </c>
    </row>
    <row r="26" spans="1:16" ht="12.5" x14ac:dyDescent="0.25">
      <c r="A26" s="1">
        <v>10125</v>
      </c>
      <c r="B26" s="1" t="s">
        <v>12</v>
      </c>
      <c r="C26" s="1" t="s">
        <v>13</v>
      </c>
      <c r="D26" t="s">
        <v>66</v>
      </c>
      <c r="E26" s="1">
        <v>170</v>
      </c>
      <c r="F26" s="1">
        <v>250</v>
      </c>
      <c r="G26" s="1">
        <v>715</v>
      </c>
      <c r="H26" s="1">
        <f>Int_breweries[[#This Row],[PLANT_COST]]*Int_breweries[[#This Row],[QUANTITY]]</f>
        <v>121550</v>
      </c>
      <c r="I26" s="1">
        <v>178750</v>
      </c>
      <c r="J26" s="1">
        <v>57200</v>
      </c>
      <c r="K26" s="1" t="s">
        <v>32</v>
      </c>
      <c r="L26" t="s">
        <v>61</v>
      </c>
      <c r="M26" s="1" t="s">
        <v>16</v>
      </c>
      <c r="N26" s="1">
        <v>2018</v>
      </c>
      <c r="O26" t="str" cm="1">
        <f t="array" ref="O26">_xlfn.IFS(OR($K26="Ghana", $K26="Nigeria"), "Anglophone", OR($K26="Togo", $K26="Benin", $K26="Senegal"), "Francophone")</f>
        <v>Francophone</v>
      </c>
      <c r="P26" s="1" t="str">
        <f>LEFT(Int_breweries[[#This Row],[MONTHS]], 3)</f>
        <v>Jan</v>
      </c>
    </row>
    <row r="27" spans="1:16" ht="12.5" x14ac:dyDescent="0.25">
      <c r="A27" s="1">
        <v>10126</v>
      </c>
      <c r="B27" s="1" t="s">
        <v>30</v>
      </c>
      <c r="C27" s="1" t="s">
        <v>31</v>
      </c>
      <c r="D27" t="s">
        <v>67</v>
      </c>
      <c r="E27" s="1">
        <v>150</v>
      </c>
      <c r="F27" s="1">
        <v>200</v>
      </c>
      <c r="G27" s="1">
        <v>999</v>
      </c>
      <c r="H27" s="1">
        <f>Int_breweries[[#This Row],[PLANT_COST]]*Int_breweries[[#This Row],[QUANTITY]]</f>
        <v>149850</v>
      </c>
      <c r="I27" s="1">
        <v>199800</v>
      </c>
      <c r="J27" s="1">
        <v>49950</v>
      </c>
      <c r="K27" s="1" t="s">
        <v>14</v>
      </c>
      <c r="L27" t="s">
        <v>62</v>
      </c>
      <c r="M27" s="1" t="s">
        <v>21</v>
      </c>
      <c r="N27" s="1">
        <v>2018</v>
      </c>
      <c r="O27" t="str" cm="1">
        <f t="array" ref="O27">_xlfn.IFS(OR($K27="Ghana", $K27="Nigeria"), "Anglophone", OR($K27="Togo", $K27="Benin", $K27="Senegal"), "Francophone")</f>
        <v>Anglophone</v>
      </c>
      <c r="P27" s="1" t="str">
        <f>LEFT(Int_breweries[[#This Row],[MONTHS]], 3)</f>
        <v>Feb</v>
      </c>
    </row>
    <row r="28" spans="1:16" ht="12.5" x14ac:dyDescent="0.25">
      <c r="A28" s="1">
        <v>10127</v>
      </c>
      <c r="B28" s="1" t="s">
        <v>42</v>
      </c>
      <c r="C28" s="1" t="s">
        <v>43</v>
      </c>
      <c r="D28" t="s">
        <v>68</v>
      </c>
      <c r="E28" s="1">
        <v>80</v>
      </c>
      <c r="F28" s="1">
        <v>150</v>
      </c>
      <c r="G28" s="1">
        <v>982</v>
      </c>
      <c r="H28" s="1">
        <f>Int_breweries[[#This Row],[PLANT_COST]]*Int_breweries[[#This Row],[QUANTITY]]</f>
        <v>78560</v>
      </c>
      <c r="I28" s="1">
        <v>147300</v>
      </c>
      <c r="J28" s="1">
        <v>68740</v>
      </c>
      <c r="K28" s="1" t="s">
        <v>19</v>
      </c>
      <c r="L28" t="s">
        <v>15</v>
      </c>
      <c r="M28" s="1" t="s">
        <v>25</v>
      </c>
      <c r="N28" s="1">
        <v>2017</v>
      </c>
      <c r="O28" t="str" cm="1">
        <f t="array" ref="O28">_xlfn.IFS(OR($K28="Ghana", $K28="Nigeria"), "Anglophone", OR($K28="Togo", $K28="Benin", $K28="Senegal"), "Francophone")</f>
        <v>Anglophone</v>
      </c>
      <c r="P28" s="1" t="str">
        <f>LEFT(Int_breweries[[#This Row],[MONTHS]], 3)</f>
        <v>Mar</v>
      </c>
    </row>
    <row r="29" spans="1:16" ht="12.5" x14ac:dyDescent="0.25">
      <c r="A29" s="1">
        <v>10128</v>
      </c>
      <c r="B29" s="1" t="s">
        <v>17</v>
      </c>
      <c r="C29" s="1" t="s">
        <v>18</v>
      </c>
      <c r="D29" t="s">
        <v>69</v>
      </c>
      <c r="E29" s="1">
        <v>90</v>
      </c>
      <c r="F29" s="1">
        <v>150</v>
      </c>
      <c r="G29" s="1">
        <v>920</v>
      </c>
      <c r="H29" s="1">
        <f>Int_breweries[[#This Row],[PLANT_COST]]*Int_breweries[[#This Row],[QUANTITY]]</f>
        <v>82800</v>
      </c>
      <c r="I29" s="1">
        <v>138000</v>
      </c>
      <c r="J29" s="1">
        <v>55200</v>
      </c>
      <c r="K29" s="1" t="s">
        <v>24</v>
      </c>
      <c r="L29" t="s">
        <v>58</v>
      </c>
      <c r="M29" s="1" t="s">
        <v>29</v>
      </c>
      <c r="N29" s="1">
        <v>2018</v>
      </c>
      <c r="O29" t="str" cm="1">
        <f t="array" ref="O29">_xlfn.IFS(OR($K29="Ghana", $K29="Nigeria"), "Anglophone", OR($K29="Togo", $K29="Benin", $K29="Senegal"), "Francophone")</f>
        <v>Francophone</v>
      </c>
      <c r="P29" s="1" t="str">
        <f>LEFT(Int_breweries[[#This Row],[MONTHS]], 3)</f>
        <v>Apr</v>
      </c>
    </row>
    <row r="30" spans="1:16" ht="12.5" x14ac:dyDescent="0.25">
      <c r="A30" s="1">
        <v>10129</v>
      </c>
      <c r="B30" s="1" t="s">
        <v>17</v>
      </c>
      <c r="C30" s="1" t="s">
        <v>18</v>
      </c>
      <c r="D30" t="s">
        <v>63</v>
      </c>
      <c r="E30" s="1">
        <v>150</v>
      </c>
      <c r="F30" s="1">
        <v>200</v>
      </c>
      <c r="G30" s="1">
        <v>875</v>
      </c>
      <c r="H30" s="1">
        <f>Int_breweries[[#This Row],[PLANT_COST]]*Int_breweries[[#This Row],[QUANTITY]]</f>
        <v>131250</v>
      </c>
      <c r="I30" s="1">
        <v>175000</v>
      </c>
      <c r="J30" s="1">
        <v>43750</v>
      </c>
      <c r="K30" s="1" t="s">
        <v>28</v>
      </c>
      <c r="L30" t="s">
        <v>59</v>
      </c>
      <c r="M30" s="1" t="s">
        <v>33</v>
      </c>
      <c r="N30" s="1">
        <v>2017</v>
      </c>
      <c r="O30" t="str" cm="1">
        <f t="array" ref="O30">_xlfn.IFS(OR($K30="Ghana", $K30="Nigeria"), "Anglophone", OR($K30="Togo", $K30="Benin", $K30="Senegal"), "Francophone")</f>
        <v>Francophone</v>
      </c>
      <c r="P30" s="1" t="str">
        <f>LEFT(Int_breweries[[#This Row],[MONTHS]], 3)</f>
        <v>May</v>
      </c>
    </row>
    <row r="31" spans="1:16" ht="12.5" x14ac:dyDescent="0.25">
      <c r="A31" s="1">
        <v>10130</v>
      </c>
      <c r="B31" s="1" t="s">
        <v>51</v>
      </c>
      <c r="C31" s="1" t="s">
        <v>52</v>
      </c>
      <c r="D31" t="s">
        <v>64</v>
      </c>
      <c r="E31" s="1">
        <v>250</v>
      </c>
      <c r="F31" s="1">
        <v>500</v>
      </c>
      <c r="G31" s="1">
        <v>945</v>
      </c>
      <c r="H31" s="1">
        <f>Int_breweries[[#This Row],[PLANT_COST]]*Int_breweries[[#This Row],[QUANTITY]]</f>
        <v>236250</v>
      </c>
      <c r="I31" s="1">
        <v>472500</v>
      </c>
      <c r="J31" s="1">
        <v>236250</v>
      </c>
      <c r="K31" s="1" t="s">
        <v>32</v>
      </c>
      <c r="L31" t="s">
        <v>60</v>
      </c>
      <c r="M31" s="1" t="s">
        <v>34</v>
      </c>
      <c r="N31" s="1">
        <v>2019</v>
      </c>
      <c r="O31" t="str" cm="1">
        <f t="array" ref="O31">_xlfn.IFS(OR($K31="Ghana", $K31="Nigeria"), "Anglophone", OR($K31="Togo", $K31="Benin", $K31="Senegal"), "Francophone")</f>
        <v>Francophone</v>
      </c>
      <c r="P31" s="1" t="str">
        <f>LEFT(Int_breweries[[#This Row],[MONTHS]], 3)</f>
        <v>Jun</v>
      </c>
    </row>
    <row r="32" spans="1:16" ht="12.5" x14ac:dyDescent="0.25">
      <c r="A32" s="1">
        <v>10131</v>
      </c>
      <c r="B32" s="1" t="s">
        <v>26</v>
      </c>
      <c r="C32" s="1" t="s">
        <v>27</v>
      </c>
      <c r="D32" t="s">
        <v>65</v>
      </c>
      <c r="E32" s="1">
        <v>180</v>
      </c>
      <c r="F32" s="1">
        <v>450</v>
      </c>
      <c r="G32" s="1">
        <v>794</v>
      </c>
      <c r="H32" s="1">
        <f>Int_breweries[[#This Row],[PLANT_COST]]*Int_breweries[[#This Row],[QUANTITY]]</f>
        <v>142920</v>
      </c>
      <c r="I32" s="1">
        <v>357300</v>
      </c>
      <c r="J32" s="1">
        <v>214380</v>
      </c>
      <c r="K32" s="1" t="s">
        <v>14</v>
      </c>
      <c r="L32" t="s">
        <v>61</v>
      </c>
      <c r="M32" s="1" t="s">
        <v>37</v>
      </c>
      <c r="N32" s="1">
        <v>2019</v>
      </c>
      <c r="O32" t="str" cm="1">
        <f t="array" ref="O32">_xlfn.IFS(OR($K32="Ghana", $K32="Nigeria"), "Anglophone", OR($K32="Togo", $K32="Benin", $K32="Senegal"), "Francophone")</f>
        <v>Anglophone</v>
      </c>
      <c r="P32" s="1" t="str">
        <f>LEFT(Int_breweries[[#This Row],[MONTHS]], 3)</f>
        <v>Jul</v>
      </c>
    </row>
    <row r="33" spans="1:16" ht="12.5" x14ac:dyDescent="0.25">
      <c r="A33" s="1">
        <v>10132</v>
      </c>
      <c r="B33" s="1" t="s">
        <v>39</v>
      </c>
      <c r="C33" s="1" t="s">
        <v>40</v>
      </c>
      <c r="D33" t="s">
        <v>66</v>
      </c>
      <c r="E33" s="1">
        <v>170</v>
      </c>
      <c r="F33" s="1">
        <v>250</v>
      </c>
      <c r="G33" s="1">
        <v>826</v>
      </c>
      <c r="H33" s="1">
        <f>Int_breweries[[#This Row],[PLANT_COST]]*Int_breweries[[#This Row],[QUANTITY]]</f>
        <v>140420</v>
      </c>
      <c r="I33" s="1">
        <v>206500</v>
      </c>
      <c r="J33" s="1">
        <v>66080</v>
      </c>
      <c r="K33" s="1" t="s">
        <v>19</v>
      </c>
      <c r="L33" t="s">
        <v>62</v>
      </c>
      <c r="M33" s="1" t="s">
        <v>38</v>
      </c>
      <c r="N33" s="1">
        <v>2017</v>
      </c>
      <c r="O33" t="str" cm="1">
        <f t="array" ref="O33">_xlfn.IFS(OR($K33="Ghana", $K33="Nigeria"), "Anglophone", OR($K33="Togo", $K33="Benin", $K33="Senegal"), "Francophone")</f>
        <v>Anglophone</v>
      </c>
      <c r="P33" s="1" t="str">
        <f>LEFT(Int_breweries[[#This Row],[MONTHS]], 3)</f>
        <v>Aug</v>
      </c>
    </row>
    <row r="34" spans="1:16" ht="12.5" x14ac:dyDescent="0.25">
      <c r="A34" s="1">
        <v>10133</v>
      </c>
      <c r="B34" s="1" t="s">
        <v>51</v>
      </c>
      <c r="C34" s="1" t="s">
        <v>52</v>
      </c>
      <c r="D34" t="s">
        <v>67</v>
      </c>
      <c r="E34" s="1">
        <v>150</v>
      </c>
      <c r="F34" s="1">
        <v>200</v>
      </c>
      <c r="G34" s="1">
        <v>1000</v>
      </c>
      <c r="H34" s="1">
        <f>Int_breweries[[#This Row],[PLANT_COST]]*Int_breweries[[#This Row],[QUANTITY]]</f>
        <v>150000</v>
      </c>
      <c r="I34" s="1">
        <v>200000</v>
      </c>
      <c r="J34" s="1">
        <v>50000</v>
      </c>
      <c r="K34" s="1" t="s">
        <v>24</v>
      </c>
      <c r="L34" t="s">
        <v>15</v>
      </c>
      <c r="M34" s="1" t="s">
        <v>41</v>
      </c>
      <c r="N34" s="1">
        <v>2019</v>
      </c>
      <c r="O34" t="str" cm="1">
        <f t="array" ref="O34">_xlfn.IFS(OR($K34="Ghana", $K34="Nigeria"), "Anglophone", OR($K34="Togo", $K34="Benin", $K34="Senegal"), "Francophone")</f>
        <v>Francophone</v>
      </c>
      <c r="P34" s="1" t="str">
        <f>LEFT(Int_breweries[[#This Row],[MONTHS]], 3)</f>
        <v>Sep</v>
      </c>
    </row>
    <row r="35" spans="1:16" ht="12.5" x14ac:dyDescent="0.25">
      <c r="A35" s="1">
        <v>10134</v>
      </c>
      <c r="B35" s="1" t="s">
        <v>22</v>
      </c>
      <c r="C35" s="1" t="s">
        <v>23</v>
      </c>
      <c r="D35" t="s">
        <v>68</v>
      </c>
      <c r="E35" s="1">
        <v>80</v>
      </c>
      <c r="F35" s="1">
        <v>150</v>
      </c>
      <c r="G35" s="1">
        <v>804</v>
      </c>
      <c r="H35" s="1">
        <f>Int_breweries[[#This Row],[PLANT_COST]]*Int_breweries[[#This Row],[QUANTITY]]</f>
        <v>64320</v>
      </c>
      <c r="I35" s="1">
        <v>120600</v>
      </c>
      <c r="J35" s="1">
        <v>56280</v>
      </c>
      <c r="K35" s="1" t="s">
        <v>28</v>
      </c>
      <c r="L35" t="s">
        <v>58</v>
      </c>
      <c r="M35" s="1" t="s">
        <v>44</v>
      </c>
      <c r="N35" s="1">
        <v>2018</v>
      </c>
      <c r="O35" t="str" cm="1">
        <f t="array" ref="O35">_xlfn.IFS(OR($K35="Ghana", $K35="Nigeria"), "Anglophone", OR($K35="Togo", $K35="Benin", $K35="Senegal"), "Francophone")</f>
        <v>Francophone</v>
      </c>
      <c r="P35" s="1" t="str">
        <f>LEFT(Int_breweries[[#This Row],[MONTHS]], 3)</f>
        <v>Oct</v>
      </c>
    </row>
    <row r="36" spans="1:16" ht="12.5" x14ac:dyDescent="0.25">
      <c r="A36" s="1">
        <v>10135</v>
      </c>
      <c r="B36" s="1" t="s">
        <v>17</v>
      </c>
      <c r="C36" s="1" t="s">
        <v>18</v>
      </c>
      <c r="D36" t="s">
        <v>69</v>
      </c>
      <c r="E36" s="1">
        <v>90</v>
      </c>
      <c r="F36" s="1">
        <v>150</v>
      </c>
      <c r="G36" s="1">
        <v>890</v>
      </c>
      <c r="H36" s="1">
        <f>Int_breweries[[#This Row],[PLANT_COST]]*Int_breweries[[#This Row],[QUANTITY]]</f>
        <v>80100</v>
      </c>
      <c r="I36" s="1">
        <v>133500</v>
      </c>
      <c r="J36" s="1">
        <v>53400</v>
      </c>
      <c r="K36" s="1" t="s">
        <v>32</v>
      </c>
      <c r="L36" t="s">
        <v>59</v>
      </c>
      <c r="M36" s="1" t="s">
        <v>47</v>
      </c>
      <c r="N36" s="1">
        <v>2017</v>
      </c>
      <c r="O36" t="str" cm="1">
        <f t="array" ref="O36">_xlfn.IFS(OR($K36="Ghana", $K36="Nigeria"), "Anglophone", OR($K36="Togo", $K36="Benin", $K36="Senegal"), "Francophone")</f>
        <v>Francophone</v>
      </c>
      <c r="P36" s="1" t="str">
        <f>LEFT(Int_breweries[[#This Row],[MONTHS]], 3)</f>
        <v>Nov</v>
      </c>
    </row>
    <row r="37" spans="1:16" ht="12.5" x14ac:dyDescent="0.25">
      <c r="A37" s="1">
        <v>10136</v>
      </c>
      <c r="B37" s="1" t="s">
        <v>22</v>
      </c>
      <c r="C37" s="1" t="s">
        <v>23</v>
      </c>
      <c r="D37" t="s">
        <v>63</v>
      </c>
      <c r="E37" s="1">
        <v>150</v>
      </c>
      <c r="F37" s="1">
        <v>200</v>
      </c>
      <c r="G37" s="1">
        <v>870</v>
      </c>
      <c r="H37" s="1">
        <f>Int_breweries[[#This Row],[PLANT_COST]]*Int_breweries[[#This Row],[QUANTITY]]</f>
        <v>130500</v>
      </c>
      <c r="I37" s="1">
        <v>174000</v>
      </c>
      <c r="J37" s="1">
        <v>43500</v>
      </c>
      <c r="K37" s="1" t="s">
        <v>14</v>
      </c>
      <c r="L37" t="s">
        <v>60</v>
      </c>
      <c r="M37" s="1" t="s">
        <v>48</v>
      </c>
      <c r="N37" s="1">
        <v>2017</v>
      </c>
      <c r="O37" t="str" cm="1">
        <f t="array" ref="O37">_xlfn.IFS(OR($K37="Ghana", $K37="Nigeria"), "Anglophone", OR($K37="Togo", $K37="Benin", $K37="Senegal"), "Francophone")</f>
        <v>Anglophone</v>
      </c>
      <c r="P37" s="1" t="str">
        <f>LEFT(Int_breweries[[#This Row],[MONTHS]], 3)</f>
        <v>Dec</v>
      </c>
    </row>
    <row r="38" spans="1:16" ht="12.5" x14ac:dyDescent="0.25">
      <c r="A38" s="1">
        <v>10137</v>
      </c>
      <c r="B38" s="1" t="s">
        <v>35</v>
      </c>
      <c r="C38" s="1" t="s">
        <v>36</v>
      </c>
      <c r="D38" t="s">
        <v>64</v>
      </c>
      <c r="E38" s="1">
        <v>250</v>
      </c>
      <c r="F38" s="1">
        <v>500</v>
      </c>
      <c r="G38" s="1">
        <v>821</v>
      </c>
      <c r="H38" s="1">
        <f>Int_breweries[[#This Row],[PLANT_COST]]*Int_breweries[[#This Row],[QUANTITY]]</f>
        <v>205250</v>
      </c>
      <c r="I38" s="1">
        <v>410500</v>
      </c>
      <c r="J38" s="1">
        <v>205250</v>
      </c>
      <c r="K38" s="1" t="s">
        <v>19</v>
      </c>
      <c r="L38" t="s">
        <v>61</v>
      </c>
      <c r="M38" s="1" t="s">
        <v>16</v>
      </c>
      <c r="N38" s="1">
        <v>2017</v>
      </c>
      <c r="O38" t="str" cm="1">
        <f t="array" ref="O38">_xlfn.IFS(OR($K38="Ghana", $K38="Nigeria"), "Anglophone", OR($K38="Togo", $K38="Benin", $K38="Senegal"), "Francophone")</f>
        <v>Anglophone</v>
      </c>
      <c r="P38" s="1" t="str">
        <f>LEFT(Int_breweries[[#This Row],[MONTHS]], 3)</f>
        <v>Jan</v>
      </c>
    </row>
    <row r="39" spans="1:16" ht="12.5" x14ac:dyDescent="0.25">
      <c r="A39" s="1">
        <v>10138</v>
      </c>
      <c r="B39" s="1" t="s">
        <v>30</v>
      </c>
      <c r="C39" s="1" t="s">
        <v>31</v>
      </c>
      <c r="D39" t="s">
        <v>65</v>
      </c>
      <c r="E39" s="1">
        <v>180</v>
      </c>
      <c r="F39" s="1">
        <v>450</v>
      </c>
      <c r="G39" s="1">
        <v>950</v>
      </c>
      <c r="H39" s="1">
        <f>Int_breweries[[#This Row],[PLANT_COST]]*Int_breweries[[#This Row],[QUANTITY]]</f>
        <v>171000</v>
      </c>
      <c r="I39" s="1">
        <v>427500</v>
      </c>
      <c r="J39" s="1">
        <v>256500</v>
      </c>
      <c r="K39" s="1" t="s">
        <v>24</v>
      </c>
      <c r="L39" t="s">
        <v>62</v>
      </c>
      <c r="M39" s="1" t="s">
        <v>21</v>
      </c>
      <c r="N39" s="1">
        <v>2018</v>
      </c>
      <c r="O39" t="str" cm="1">
        <f t="array" ref="O39">_xlfn.IFS(OR($K39="Ghana", $K39="Nigeria"), "Anglophone", OR($K39="Togo", $K39="Benin", $K39="Senegal"), "Francophone")</f>
        <v>Francophone</v>
      </c>
      <c r="P39" s="1" t="str">
        <f>LEFT(Int_breweries[[#This Row],[MONTHS]], 3)</f>
        <v>Feb</v>
      </c>
    </row>
    <row r="40" spans="1:16" ht="12.5" x14ac:dyDescent="0.25">
      <c r="A40" s="1">
        <v>10139</v>
      </c>
      <c r="B40" s="1" t="s">
        <v>12</v>
      </c>
      <c r="C40" s="1" t="s">
        <v>13</v>
      </c>
      <c r="D40" t="s">
        <v>66</v>
      </c>
      <c r="E40" s="1">
        <v>170</v>
      </c>
      <c r="F40" s="1">
        <v>250</v>
      </c>
      <c r="G40" s="1">
        <v>784</v>
      </c>
      <c r="H40" s="1">
        <f>Int_breweries[[#This Row],[PLANT_COST]]*Int_breweries[[#This Row],[QUANTITY]]</f>
        <v>133280</v>
      </c>
      <c r="I40" s="1">
        <v>196000</v>
      </c>
      <c r="J40" s="1">
        <v>62720</v>
      </c>
      <c r="K40" s="1" t="s">
        <v>28</v>
      </c>
      <c r="L40" t="s">
        <v>15</v>
      </c>
      <c r="M40" s="1" t="s">
        <v>25</v>
      </c>
      <c r="N40" s="1">
        <v>2019</v>
      </c>
      <c r="O40" t="str" cm="1">
        <f t="array" ref="O40">_xlfn.IFS(OR($K40="Ghana", $K40="Nigeria"), "Anglophone", OR($K40="Togo", $K40="Benin", $K40="Senegal"), "Francophone")</f>
        <v>Francophone</v>
      </c>
      <c r="P40" s="1" t="str">
        <f>LEFT(Int_breweries[[#This Row],[MONTHS]], 3)</f>
        <v>Mar</v>
      </c>
    </row>
    <row r="41" spans="1:16" ht="12.5" x14ac:dyDescent="0.25">
      <c r="A41" s="1">
        <v>10140</v>
      </c>
      <c r="B41" s="1" t="s">
        <v>12</v>
      </c>
      <c r="C41" s="1" t="s">
        <v>13</v>
      </c>
      <c r="D41" t="s">
        <v>67</v>
      </c>
      <c r="E41" s="1">
        <v>150</v>
      </c>
      <c r="F41" s="1">
        <v>200</v>
      </c>
      <c r="G41" s="1">
        <v>999</v>
      </c>
      <c r="H41" s="1">
        <f>Int_breweries[[#This Row],[PLANT_COST]]*Int_breweries[[#This Row],[QUANTITY]]</f>
        <v>149850</v>
      </c>
      <c r="I41" s="1">
        <v>199800</v>
      </c>
      <c r="J41" s="1">
        <v>49950</v>
      </c>
      <c r="K41" s="1" t="s">
        <v>32</v>
      </c>
      <c r="L41" t="s">
        <v>58</v>
      </c>
      <c r="M41" s="1" t="s">
        <v>29</v>
      </c>
      <c r="N41" s="1">
        <v>2019</v>
      </c>
      <c r="O41" t="str" cm="1">
        <f t="array" ref="O41">_xlfn.IFS(OR($K41="Ghana", $K41="Nigeria"), "Anglophone", OR($K41="Togo", $K41="Benin", $K41="Senegal"), "Francophone")</f>
        <v>Francophone</v>
      </c>
      <c r="P41" s="1" t="str">
        <f>LEFT(Int_breweries[[#This Row],[MONTHS]], 3)</f>
        <v>Apr</v>
      </c>
    </row>
    <row r="42" spans="1:16" ht="12.5" x14ac:dyDescent="0.25">
      <c r="A42" s="1">
        <v>10141</v>
      </c>
      <c r="B42" s="1" t="s">
        <v>30</v>
      </c>
      <c r="C42" s="1" t="s">
        <v>31</v>
      </c>
      <c r="D42" t="s">
        <v>68</v>
      </c>
      <c r="E42" s="1">
        <v>80</v>
      </c>
      <c r="F42" s="1">
        <v>150</v>
      </c>
      <c r="G42" s="1">
        <v>894</v>
      </c>
      <c r="H42" s="1">
        <f>Int_breweries[[#This Row],[PLANT_COST]]*Int_breweries[[#This Row],[QUANTITY]]</f>
        <v>71520</v>
      </c>
      <c r="I42" s="1">
        <v>134100</v>
      </c>
      <c r="J42" s="1">
        <v>62580</v>
      </c>
      <c r="K42" s="1" t="s">
        <v>14</v>
      </c>
      <c r="L42" t="s">
        <v>59</v>
      </c>
      <c r="M42" s="1" t="s">
        <v>33</v>
      </c>
      <c r="N42" s="1">
        <v>2019</v>
      </c>
      <c r="O42" t="str" cm="1">
        <f t="array" ref="O42">_xlfn.IFS(OR($K42="Ghana", $K42="Nigeria"), "Anglophone", OR($K42="Togo", $K42="Benin", $K42="Senegal"), "Francophone")</f>
        <v>Anglophone</v>
      </c>
      <c r="P42" s="1" t="str">
        <f>LEFT(Int_breweries[[#This Row],[MONTHS]], 3)</f>
        <v>May</v>
      </c>
    </row>
    <row r="43" spans="1:16" ht="12.5" x14ac:dyDescent="0.25">
      <c r="A43" s="1">
        <v>10142</v>
      </c>
      <c r="B43" s="1" t="s">
        <v>12</v>
      </c>
      <c r="C43" s="1" t="s">
        <v>13</v>
      </c>
      <c r="D43" t="s">
        <v>69</v>
      </c>
      <c r="E43" s="1">
        <v>90</v>
      </c>
      <c r="F43" s="1">
        <v>150</v>
      </c>
      <c r="G43" s="1">
        <v>827</v>
      </c>
      <c r="H43" s="1">
        <f>Int_breweries[[#This Row],[PLANT_COST]]*Int_breweries[[#This Row],[QUANTITY]]</f>
        <v>74430</v>
      </c>
      <c r="I43" s="1">
        <v>124050</v>
      </c>
      <c r="J43" s="1">
        <v>49620</v>
      </c>
      <c r="K43" s="1" t="s">
        <v>19</v>
      </c>
      <c r="L43" t="s">
        <v>60</v>
      </c>
      <c r="M43" s="1" t="s">
        <v>34</v>
      </c>
      <c r="N43" s="1">
        <v>2017</v>
      </c>
      <c r="O43" t="str" cm="1">
        <f t="array" ref="O43">_xlfn.IFS(OR($K43="Ghana", $K43="Nigeria"), "Anglophone", OR($K43="Togo", $K43="Benin", $K43="Senegal"), "Francophone")</f>
        <v>Anglophone</v>
      </c>
      <c r="P43" s="1" t="str">
        <f>LEFT(Int_breweries[[#This Row],[MONTHS]], 3)</f>
        <v>Jun</v>
      </c>
    </row>
    <row r="44" spans="1:16" ht="12.5" x14ac:dyDescent="0.25">
      <c r="A44" s="1">
        <v>10143</v>
      </c>
      <c r="B44" s="1" t="s">
        <v>17</v>
      </c>
      <c r="C44" s="1" t="s">
        <v>18</v>
      </c>
      <c r="D44" t="s">
        <v>63</v>
      </c>
      <c r="E44" s="1">
        <v>150</v>
      </c>
      <c r="F44" s="1">
        <v>200</v>
      </c>
      <c r="G44" s="1">
        <v>779</v>
      </c>
      <c r="H44" s="1">
        <f>Int_breweries[[#This Row],[PLANT_COST]]*Int_breweries[[#This Row],[QUANTITY]]</f>
        <v>116850</v>
      </c>
      <c r="I44" s="1">
        <v>155800</v>
      </c>
      <c r="J44" s="1">
        <v>38950</v>
      </c>
      <c r="K44" s="1" t="s">
        <v>24</v>
      </c>
      <c r="L44" t="s">
        <v>61</v>
      </c>
      <c r="M44" s="1" t="s">
        <v>37</v>
      </c>
      <c r="N44" s="1">
        <v>2018</v>
      </c>
      <c r="O44" t="str" cm="1">
        <f t="array" ref="O44">_xlfn.IFS(OR($K44="Ghana", $K44="Nigeria"), "Anglophone", OR($K44="Togo", $K44="Benin", $K44="Senegal"), "Francophone")</f>
        <v>Francophone</v>
      </c>
      <c r="P44" s="1" t="str">
        <f>LEFT(Int_breweries[[#This Row],[MONTHS]], 3)</f>
        <v>Jul</v>
      </c>
    </row>
    <row r="45" spans="1:16" ht="12.5" x14ac:dyDescent="0.25">
      <c r="A45" s="1">
        <v>10144</v>
      </c>
      <c r="B45" s="1" t="s">
        <v>22</v>
      </c>
      <c r="C45" s="1" t="s">
        <v>23</v>
      </c>
      <c r="D45" t="s">
        <v>64</v>
      </c>
      <c r="E45" s="1">
        <v>250</v>
      </c>
      <c r="F45" s="1">
        <v>500</v>
      </c>
      <c r="G45" s="1">
        <v>835</v>
      </c>
      <c r="H45" s="1">
        <f>Int_breweries[[#This Row],[PLANT_COST]]*Int_breweries[[#This Row],[QUANTITY]]</f>
        <v>208750</v>
      </c>
      <c r="I45" s="1">
        <v>417500</v>
      </c>
      <c r="J45" s="1">
        <v>208750</v>
      </c>
      <c r="K45" s="1" t="s">
        <v>28</v>
      </c>
      <c r="L45" t="s">
        <v>62</v>
      </c>
      <c r="M45" s="1" t="s">
        <v>38</v>
      </c>
      <c r="N45" s="1">
        <v>2017</v>
      </c>
      <c r="O45" t="str" cm="1">
        <f t="array" ref="O45">_xlfn.IFS(OR($K45="Ghana", $K45="Nigeria"), "Anglophone", OR($K45="Togo", $K45="Benin", $K45="Senegal"), "Francophone")</f>
        <v>Francophone</v>
      </c>
      <c r="P45" s="1" t="str">
        <f>LEFT(Int_breweries[[#This Row],[MONTHS]], 3)</f>
        <v>Aug</v>
      </c>
    </row>
    <row r="46" spans="1:16" ht="12.5" x14ac:dyDescent="0.25">
      <c r="A46" s="1">
        <v>10145</v>
      </c>
      <c r="B46" s="1" t="s">
        <v>26</v>
      </c>
      <c r="C46" s="1" t="s">
        <v>27</v>
      </c>
      <c r="D46" t="s">
        <v>65</v>
      </c>
      <c r="E46" s="1">
        <v>180</v>
      </c>
      <c r="F46" s="1">
        <v>450</v>
      </c>
      <c r="G46" s="1">
        <v>801</v>
      </c>
      <c r="H46" s="1">
        <f>Int_breweries[[#This Row],[PLANT_COST]]*Int_breweries[[#This Row],[QUANTITY]]</f>
        <v>144180</v>
      </c>
      <c r="I46" s="1">
        <v>360450</v>
      </c>
      <c r="J46" s="1">
        <v>216270</v>
      </c>
      <c r="K46" s="1" t="s">
        <v>32</v>
      </c>
      <c r="L46" t="s">
        <v>15</v>
      </c>
      <c r="M46" s="1" t="s">
        <v>41</v>
      </c>
      <c r="N46" s="1">
        <v>2018</v>
      </c>
      <c r="O46" t="str" cm="1">
        <f t="array" ref="O46">_xlfn.IFS(OR($K46="Ghana", $K46="Nigeria"), "Anglophone", OR($K46="Togo", $K46="Benin", $K46="Senegal"), "Francophone")</f>
        <v>Francophone</v>
      </c>
      <c r="P46" s="1" t="str">
        <f>LEFT(Int_breweries[[#This Row],[MONTHS]], 3)</f>
        <v>Sep</v>
      </c>
    </row>
    <row r="47" spans="1:16" ht="12.5" x14ac:dyDescent="0.25">
      <c r="A47" s="1">
        <v>10146</v>
      </c>
      <c r="B47" s="1" t="s">
        <v>30</v>
      </c>
      <c r="C47" s="1" t="s">
        <v>31</v>
      </c>
      <c r="D47" t="s">
        <v>66</v>
      </c>
      <c r="E47" s="1">
        <v>170</v>
      </c>
      <c r="F47" s="1">
        <v>250</v>
      </c>
      <c r="G47" s="1">
        <v>710</v>
      </c>
      <c r="H47" s="1">
        <f>Int_breweries[[#This Row],[PLANT_COST]]*Int_breweries[[#This Row],[QUANTITY]]</f>
        <v>120700</v>
      </c>
      <c r="I47" s="1">
        <v>177500</v>
      </c>
      <c r="J47" s="1">
        <v>56800</v>
      </c>
      <c r="K47" s="1" t="s">
        <v>14</v>
      </c>
      <c r="L47" t="s">
        <v>58</v>
      </c>
      <c r="M47" s="1" t="s">
        <v>44</v>
      </c>
      <c r="N47" s="1">
        <v>2017</v>
      </c>
      <c r="O47" t="str" cm="1">
        <f t="array" ref="O47">_xlfn.IFS(OR($K47="Ghana", $K47="Nigeria"), "Anglophone", OR($K47="Togo", $K47="Benin", $K47="Senegal"), "Francophone")</f>
        <v>Anglophone</v>
      </c>
      <c r="P47" s="1" t="str">
        <f>LEFT(Int_breweries[[#This Row],[MONTHS]], 3)</f>
        <v>Oct</v>
      </c>
    </row>
    <row r="48" spans="1:16" ht="12.5" x14ac:dyDescent="0.25">
      <c r="A48" s="1">
        <v>10147</v>
      </c>
      <c r="B48" s="1" t="s">
        <v>12</v>
      </c>
      <c r="C48" s="1" t="s">
        <v>13</v>
      </c>
      <c r="D48" t="s">
        <v>67</v>
      </c>
      <c r="E48" s="1">
        <v>150</v>
      </c>
      <c r="F48" s="1">
        <v>200</v>
      </c>
      <c r="G48" s="1">
        <v>952</v>
      </c>
      <c r="H48" s="1">
        <f>Int_breweries[[#This Row],[PLANT_COST]]*Int_breweries[[#This Row],[QUANTITY]]</f>
        <v>142800</v>
      </c>
      <c r="I48" s="1">
        <v>190400</v>
      </c>
      <c r="J48" s="1">
        <v>47600</v>
      </c>
      <c r="K48" s="1" t="s">
        <v>19</v>
      </c>
      <c r="L48" t="s">
        <v>59</v>
      </c>
      <c r="M48" s="1" t="s">
        <v>47</v>
      </c>
      <c r="N48" s="1">
        <v>2017</v>
      </c>
      <c r="O48" t="str" cm="1">
        <f t="array" ref="O48">_xlfn.IFS(OR($K48="Ghana", $K48="Nigeria"), "Anglophone", OR($K48="Togo", $K48="Benin", $K48="Senegal"), "Francophone")</f>
        <v>Anglophone</v>
      </c>
      <c r="P48" s="1" t="str">
        <f>LEFT(Int_breweries[[#This Row],[MONTHS]], 3)</f>
        <v>Nov</v>
      </c>
    </row>
    <row r="49" spans="1:16" ht="12.5" x14ac:dyDescent="0.25">
      <c r="A49" s="1">
        <v>10148</v>
      </c>
      <c r="B49" s="1" t="s">
        <v>35</v>
      </c>
      <c r="C49" s="1" t="s">
        <v>36</v>
      </c>
      <c r="D49" t="s">
        <v>68</v>
      </c>
      <c r="E49" s="1">
        <v>80</v>
      </c>
      <c r="F49" s="1">
        <v>150</v>
      </c>
      <c r="G49" s="1">
        <v>891</v>
      </c>
      <c r="H49" s="1">
        <f>Int_breweries[[#This Row],[PLANT_COST]]*Int_breweries[[#This Row],[QUANTITY]]</f>
        <v>71280</v>
      </c>
      <c r="I49" s="1">
        <v>133650</v>
      </c>
      <c r="J49" s="1">
        <v>62370</v>
      </c>
      <c r="K49" s="1" t="s">
        <v>24</v>
      </c>
      <c r="L49" t="s">
        <v>60</v>
      </c>
      <c r="M49" s="1" t="s">
        <v>48</v>
      </c>
      <c r="N49" s="1">
        <v>2017</v>
      </c>
      <c r="O49" t="str" cm="1">
        <f t="array" ref="O49">_xlfn.IFS(OR($K49="Ghana", $K49="Nigeria"), "Anglophone", OR($K49="Togo", $K49="Benin", $K49="Senegal"), "Francophone")</f>
        <v>Francophone</v>
      </c>
      <c r="P49" s="1" t="str">
        <f>LEFT(Int_breweries[[#This Row],[MONTHS]], 3)</f>
        <v>Dec</v>
      </c>
    </row>
    <row r="50" spans="1:16" ht="12.5" x14ac:dyDescent="0.25">
      <c r="A50" s="1">
        <v>10149</v>
      </c>
      <c r="B50" s="1" t="s">
        <v>26</v>
      </c>
      <c r="C50" s="1" t="s">
        <v>27</v>
      </c>
      <c r="D50" t="s">
        <v>69</v>
      </c>
      <c r="E50" s="1">
        <v>90</v>
      </c>
      <c r="F50" s="1">
        <v>150</v>
      </c>
      <c r="G50" s="1">
        <v>781</v>
      </c>
      <c r="H50" s="1">
        <f>Int_breweries[[#This Row],[PLANT_COST]]*Int_breweries[[#This Row],[QUANTITY]]</f>
        <v>70290</v>
      </c>
      <c r="I50" s="1">
        <v>117150</v>
      </c>
      <c r="J50" s="1">
        <v>46860</v>
      </c>
      <c r="K50" s="1" t="s">
        <v>28</v>
      </c>
      <c r="L50" t="s">
        <v>61</v>
      </c>
      <c r="M50" s="1" t="s">
        <v>16</v>
      </c>
      <c r="N50" s="1">
        <v>2018</v>
      </c>
      <c r="O50" t="str" cm="1">
        <f t="array" ref="O50">_xlfn.IFS(OR($K50="Ghana", $K50="Nigeria"), "Anglophone", OR($K50="Togo", $K50="Benin", $K50="Senegal"), "Francophone")</f>
        <v>Francophone</v>
      </c>
      <c r="P50" s="1" t="str">
        <f>LEFT(Int_breweries[[#This Row],[MONTHS]], 3)</f>
        <v>Jan</v>
      </c>
    </row>
    <row r="51" spans="1:16" ht="12.5" x14ac:dyDescent="0.25">
      <c r="A51" s="1">
        <v>10150</v>
      </c>
      <c r="B51" s="1" t="s">
        <v>39</v>
      </c>
      <c r="C51" s="1" t="s">
        <v>40</v>
      </c>
      <c r="D51" t="s">
        <v>63</v>
      </c>
      <c r="E51" s="1">
        <v>150</v>
      </c>
      <c r="F51" s="1">
        <v>200</v>
      </c>
      <c r="G51" s="1">
        <v>845</v>
      </c>
      <c r="H51" s="1">
        <f>Int_breweries[[#This Row],[PLANT_COST]]*Int_breweries[[#This Row],[QUANTITY]]</f>
        <v>126750</v>
      </c>
      <c r="I51" s="1">
        <v>169000</v>
      </c>
      <c r="J51" s="1">
        <v>42250</v>
      </c>
      <c r="K51" s="1" t="s">
        <v>32</v>
      </c>
      <c r="L51" t="s">
        <v>62</v>
      </c>
      <c r="M51" s="1" t="s">
        <v>21</v>
      </c>
      <c r="N51" s="1">
        <v>2019</v>
      </c>
      <c r="O51" t="str" cm="1">
        <f t="array" ref="O51">_xlfn.IFS(OR($K51="Ghana", $K51="Nigeria"), "Anglophone", OR($K51="Togo", $K51="Benin", $K51="Senegal"), "Francophone")</f>
        <v>Francophone</v>
      </c>
      <c r="P51" s="1" t="str">
        <f>LEFT(Int_breweries[[#This Row],[MONTHS]], 3)</f>
        <v>Feb</v>
      </c>
    </row>
    <row r="52" spans="1:16" ht="12.5" x14ac:dyDescent="0.25">
      <c r="A52" s="1">
        <v>10151</v>
      </c>
      <c r="B52" s="1" t="s">
        <v>42</v>
      </c>
      <c r="C52" s="1" t="s">
        <v>43</v>
      </c>
      <c r="D52" t="s">
        <v>64</v>
      </c>
      <c r="E52" s="1">
        <v>250</v>
      </c>
      <c r="F52" s="1">
        <v>500</v>
      </c>
      <c r="G52" s="1">
        <v>719</v>
      </c>
      <c r="H52" s="1">
        <f>Int_breweries[[#This Row],[PLANT_COST]]*Int_breweries[[#This Row],[QUANTITY]]</f>
        <v>179750</v>
      </c>
      <c r="I52" s="1">
        <v>359500</v>
      </c>
      <c r="J52" s="1">
        <v>179750</v>
      </c>
      <c r="K52" s="1" t="s">
        <v>14</v>
      </c>
      <c r="L52" t="s">
        <v>15</v>
      </c>
      <c r="M52" s="1" t="s">
        <v>25</v>
      </c>
      <c r="N52" s="1">
        <v>2018</v>
      </c>
      <c r="O52" t="str" cm="1">
        <f t="array" ref="O52">_xlfn.IFS(OR($K52="Ghana", $K52="Nigeria"), "Anglophone", OR($K52="Togo", $K52="Benin", $K52="Senegal"), "Francophone")</f>
        <v>Anglophone</v>
      </c>
      <c r="P52" s="1" t="str">
        <f>LEFT(Int_breweries[[#This Row],[MONTHS]], 3)</f>
        <v>Mar</v>
      </c>
    </row>
    <row r="53" spans="1:16" ht="12.5" x14ac:dyDescent="0.25">
      <c r="A53" s="1">
        <v>10152</v>
      </c>
      <c r="B53" s="1" t="s">
        <v>45</v>
      </c>
      <c r="C53" s="1" t="s">
        <v>46</v>
      </c>
      <c r="D53" t="s">
        <v>65</v>
      </c>
      <c r="E53" s="1">
        <v>180</v>
      </c>
      <c r="F53" s="1">
        <v>450</v>
      </c>
      <c r="G53" s="1">
        <v>878</v>
      </c>
      <c r="H53" s="1">
        <f>Int_breweries[[#This Row],[PLANT_COST]]*Int_breweries[[#This Row],[QUANTITY]]</f>
        <v>158040</v>
      </c>
      <c r="I53" s="1">
        <v>395100</v>
      </c>
      <c r="J53" s="1">
        <v>237060</v>
      </c>
      <c r="K53" s="1" t="s">
        <v>19</v>
      </c>
      <c r="L53" t="s">
        <v>58</v>
      </c>
      <c r="M53" s="1" t="s">
        <v>29</v>
      </c>
      <c r="N53" s="1">
        <v>2019</v>
      </c>
      <c r="O53" t="str" cm="1">
        <f t="array" ref="O53">_xlfn.IFS(OR($K53="Ghana", $K53="Nigeria"), "Anglophone", OR($K53="Togo", $K53="Benin", $K53="Senegal"), "Francophone")</f>
        <v>Anglophone</v>
      </c>
      <c r="P53" s="1" t="str">
        <f>LEFT(Int_breweries[[#This Row],[MONTHS]], 3)</f>
        <v>Apr</v>
      </c>
    </row>
    <row r="54" spans="1:16" ht="12.5" x14ac:dyDescent="0.25">
      <c r="A54" s="1">
        <v>10153</v>
      </c>
      <c r="B54" s="1" t="s">
        <v>26</v>
      </c>
      <c r="C54" s="1" t="s">
        <v>27</v>
      </c>
      <c r="D54" t="s">
        <v>66</v>
      </c>
      <c r="E54" s="1">
        <v>170</v>
      </c>
      <c r="F54" s="1">
        <v>250</v>
      </c>
      <c r="G54" s="1">
        <v>832</v>
      </c>
      <c r="H54" s="1">
        <f>Int_breweries[[#This Row],[PLANT_COST]]*Int_breweries[[#This Row],[QUANTITY]]</f>
        <v>141440</v>
      </c>
      <c r="I54" s="1">
        <v>208000</v>
      </c>
      <c r="J54" s="1">
        <v>66560</v>
      </c>
      <c r="K54" s="1" t="s">
        <v>24</v>
      </c>
      <c r="L54" t="s">
        <v>59</v>
      </c>
      <c r="M54" s="1" t="s">
        <v>33</v>
      </c>
      <c r="N54" s="1">
        <v>2018</v>
      </c>
      <c r="O54" t="str" cm="1">
        <f t="array" ref="O54">_xlfn.IFS(OR($K54="Ghana", $K54="Nigeria"), "Anglophone", OR($K54="Togo", $K54="Benin", $K54="Senegal"), "Francophone")</f>
        <v>Francophone</v>
      </c>
      <c r="P54" s="1" t="str">
        <f>LEFT(Int_breweries[[#This Row],[MONTHS]], 3)</f>
        <v>May</v>
      </c>
    </row>
    <row r="55" spans="1:16" ht="12.5" x14ac:dyDescent="0.25">
      <c r="A55" s="1">
        <v>10154</v>
      </c>
      <c r="B55" s="1" t="s">
        <v>49</v>
      </c>
      <c r="C55" s="1" t="s">
        <v>50</v>
      </c>
      <c r="D55" t="s">
        <v>67</v>
      </c>
      <c r="E55" s="1">
        <v>150</v>
      </c>
      <c r="F55" s="1">
        <v>200</v>
      </c>
      <c r="G55" s="1">
        <v>766</v>
      </c>
      <c r="H55" s="1">
        <f>Int_breweries[[#This Row],[PLANT_COST]]*Int_breweries[[#This Row],[QUANTITY]]</f>
        <v>114900</v>
      </c>
      <c r="I55" s="1">
        <v>153200</v>
      </c>
      <c r="J55" s="1">
        <v>38300</v>
      </c>
      <c r="K55" s="1" t="s">
        <v>28</v>
      </c>
      <c r="L55" t="s">
        <v>60</v>
      </c>
      <c r="M55" s="1" t="s">
        <v>34</v>
      </c>
      <c r="N55" s="1">
        <v>2017</v>
      </c>
      <c r="O55" t="str" cm="1">
        <f t="array" ref="O55">_xlfn.IFS(OR($K55="Ghana", $K55="Nigeria"), "Anglophone", OR($K55="Togo", $K55="Benin", $K55="Senegal"), "Francophone")</f>
        <v>Francophone</v>
      </c>
      <c r="P55" s="1" t="str">
        <f>LEFT(Int_breweries[[#This Row],[MONTHS]], 3)</f>
        <v>Jun</v>
      </c>
    </row>
    <row r="56" spans="1:16" ht="12.5" x14ac:dyDescent="0.25">
      <c r="A56" s="1">
        <v>10155</v>
      </c>
      <c r="B56" s="1" t="s">
        <v>26</v>
      </c>
      <c r="C56" s="1" t="s">
        <v>27</v>
      </c>
      <c r="D56" t="s">
        <v>68</v>
      </c>
      <c r="E56" s="1">
        <v>80</v>
      </c>
      <c r="F56" s="1">
        <v>150</v>
      </c>
      <c r="G56" s="1">
        <v>726</v>
      </c>
      <c r="H56" s="1">
        <f>Int_breweries[[#This Row],[PLANT_COST]]*Int_breweries[[#This Row],[QUANTITY]]</f>
        <v>58080</v>
      </c>
      <c r="I56" s="1">
        <v>108900</v>
      </c>
      <c r="J56" s="1">
        <v>50820</v>
      </c>
      <c r="K56" s="1" t="s">
        <v>32</v>
      </c>
      <c r="L56" t="s">
        <v>61</v>
      </c>
      <c r="M56" s="1" t="s">
        <v>37</v>
      </c>
      <c r="N56" s="1">
        <v>2018</v>
      </c>
      <c r="O56" t="str" cm="1">
        <f t="array" ref="O56">_xlfn.IFS(OR($K56="Ghana", $K56="Nigeria"), "Anglophone", OR($K56="Togo", $K56="Benin", $K56="Senegal"), "Francophone")</f>
        <v>Francophone</v>
      </c>
      <c r="P56" s="1" t="str">
        <f>LEFT(Int_breweries[[#This Row],[MONTHS]], 3)</f>
        <v>Jul</v>
      </c>
    </row>
    <row r="57" spans="1:16" ht="12.5" x14ac:dyDescent="0.25">
      <c r="A57" s="1">
        <v>10156</v>
      </c>
      <c r="B57" s="1" t="s">
        <v>39</v>
      </c>
      <c r="C57" s="1" t="s">
        <v>40</v>
      </c>
      <c r="D57" t="s">
        <v>69</v>
      </c>
      <c r="E57" s="1">
        <v>90</v>
      </c>
      <c r="F57" s="1">
        <v>150</v>
      </c>
      <c r="G57" s="1">
        <v>962</v>
      </c>
      <c r="H57" s="1">
        <f>Int_breweries[[#This Row],[PLANT_COST]]*Int_breweries[[#This Row],[QUANTITY]]</f>
        <v>86580</v>
      </c>
      <c r="I57" s="1">
        <v>144300</v>
      </c>
      <c r="J57" s="1">
        <v>57720</v>
      </c>
      <c r="K57" s="1" t="s">
        <v>14</v>
      </c>
      <c r="L57" t="s">
        <v>62</v>
      </c>
      <c r="M57" s="1" t="s">
        <v>38</v>
      </c>
      <c r="N57" s="1">
        <v>2017</v>
      </c>
      <c r="O57" t="str" cm="1">
        <f t="array" ref="O57">_xlfn.IFS(OR($K57="Ghana", $K57="Nigeria"), "Anglophone", OR($K57="Togo", $K57="Benin", $K57="Senegal"), "Francophone")</f>
        <v>Anglophone</v>
      </c>
      <c r="P57" s="1" t="str">
        <f>LEFT(Int_breweries[[#This Row],[MONTHS]], 3)</f>
        <v>Aug</v>
      </c>
    </row>
    <row r="58" spans="1:16" ht="12.5" x14ac:dyDescent="0.25">
      <c r="A58" s="1">
        <v>10157</v>
      </c>
      <c r="B58" s="1" t="s">
        <v>26</v>
      </c>
      <c r="C58" s="1" t="s">
        <v>27</v>
      </c>
      <c r="D58" t="s">
        <v>63</v>
      </c>
      <c r="E58" s="1">
        <v>150</v>
      </c>
      <c r="F58" s="1">
        <v>200</v>
      </c>
      <c r="G58" s="1">
        <v>920</v>
      </c>
      <c r="H58" s="1">
        <f>Int_breweries[[#This Row],[PLANT_COST]]*Int_breweries[[#This Row],[QUANTITY]]</f>
        <v>138000</v>
      </c>
      <c r="I58" s="1">
        <v>184000</v>
      </c>
      <c r="J58" s="1">
        <v>46000</v>
      </c>
      <c r="K58" s="1" t="s">
        <v>19</v>
      </c>
      <c r="L58" t="s">
        <v>15</v>
      </c>
      <c r="M58" s="1" t="s">
        <v>41</v>
      </c>
      <c r="N58" s="1">
        <v>2018</v>
      </c>
      <c r="O58" t="str" cm="1">
        <f t="array" ref="O58">_xlfn.IFS(OR($K58="Ghana", $K58="Nigeria"), "Anglophone", OR($K58="Togo", $K58="Benin", $K58="Senegal"), "Francophone")</f>
        <v>Anglophone</v>
      </c>
      <c r="P58" s="1" t="str">
        <f>LEFT(Int_breweries[[#This Row],[MONTHS]], 3)</f>
        <v>Sep</v>
      </c>
    </row>
    <row r="59" spans="1:16" ht="12.5" x14ac:dyDescent="0.25">
      <c r="A59" s="1">
        <v>10158</v>
      </c>
      <c r="B59" s="1" t="s">
        <v>45</v>
      </c>
      <c r="C59" s="1" t="s">
        <v>46</v>
      </c>
      <c r="D59" t="s">
        <v>64</v>
      </c>
      <c r="E59" s="1">
        <v>250</v>
      </c>
      <c r="F59" s="1">
        <v>500</v>
      </c>
      <c r="G59" s="1">
        <v>776</v>
      </c>
      <c r="H59" s="1">
        <f>Int_breweries[[#This Row],[PLANT_COST]]*Int_breweries[[#This Row],[QUANTITY]]</f>
        <v>194000</v>
      </c>
      <c r="I59" s="1">
        <v>388000</v>
      </c>
      <c r="J59" s="1">
        <v>194000</v>
      </c>
      <c r="K59" s="1" t="s">
        <v>24</v>
      </c>
      <c r="L59" t="s">
        <v>58</v>
      </c>
      <c r="M59" s="1" t="s">
        <v>44</v>
      </c>
      <c r="N59" s="1">
        <v>2017</v>
      </c>
      <c r="O59" t="str" cm="1">
        <f t="array" ref="O59">_xlfn.IFS(OR($K59="Ghana", $K59="Nigeria"), "Anglophone", OR($K59="Togo", $K59="Benin", $K59="Senegal"), "Francophone")</f>
        <v>Francophone</v>
      </c>
      <c r="P59" s="1" t="str">
        <f>LEFT(Int_breweries[[#This Row],[MONTHS]], 3)</f>
        <v>Oct</v>
      </c>
    </row>
    <row r="60" spans="1:16" ht="12.5" x14ac:dyDescent="0.25">
      <c r="A60" s="1">
        <v>10159</v>
      </c>
      <c r="B60" s="1" t="s">
        <v>51</v>
      </c>
      <c r="C60" s="1" t="s">
        <v>52</v>
      </c>
      <c r="D60" t="s">
        <v>65</v>
      </c>
      <c r="E60" s="1">
        <v>180</v>
      </c>
      <c r="F60" s="1">
        <v>450</v>
      </c>
      <c r="G60" s="1">
        <v>872</v>
      </c>
      <c r="H60" s="1">
        <f>Int_breweries[[#This Row],[PLANT_COST]]*Int_breweries[[#This Row],[QUANTITY]]</f>
        <v>156960</v>
      </c>
      <c r="I60" s="1">
        <v>392400</v>
      </c>
      <c r="J60" s="1">
        <v>235440</v>
      </c>
      <c r="K60" s="1" t="s">
        <v>28</v>
      </c>
      <c r="L60" t="s">
        <v>59</v>
      </c>
      <c r="M60" s="1" t="s">
        <v>47</v>
      </c>
      <c r="N60" s="1">
        <v>2018</v>
      </c>
      <c r="O60" t="str" cm="1">
        <f t="array" ref="O60">_xlfn.IFS(OR($K60="Ghana", $K60="Nigeria"), "Anglophone", OR($K60="Togo", $K60="Benin", $K60="Senegal"), "Francophone")</f>
        <v>Francophone</v>
      </c>
      <c r="P60" s="1" t="str">
        <f>LEFT(Int_breweries[[#This Row],[MONTHS]], 3)</f>
        <v>Nov</v>
      </c>
    </row>
    <row r="61" spans="1:16" ht="12.5" x14ac:dyDescent="0.25">
      <c r="A61" s="1">
        <v>10160</v>
      </c>
      <c r="B61" s="1" t="s">
        <v>49</v>
      </c>
      <c r="C61" s="1" t="s">
        <v>50</v>
      </c>
      <c r="D61" t="s">
        <v>66</v>
      </c>
      <c r="E61" s="1">
        <v>170</v>
      </c>
      <c r="F61" s="1">
        <v>250</v>
      </c>
      <c r="G61" s="1">
        <v>831</v>
      </c>
      <c r="H61" s="1">
        <f>Int_breweries[[#This Row],[PLANT_COST]]*Int_breweries[[#This Row],[QUANTITY]]</f>
        <v>141270</v>
      </c>
      <c r="I61" s="1">
        <v>207750</v>
      </c>
      <c r="J61" s="1">
        <v>66480</v>
      </c>
      <c r="K61" s="1" t="s">
        <v>32</v>
      </c>
      <c r="L61" t="s">
        <v>60</v>
      </c>
      <c r="M61" s="1" t="s">
        <v>48</v>
      </c>
      <c r="N61" s="1">
        <v>2017</v>
      </c>
      <c r="O61" t="str" cm="1">
        <f t="array" ref="O61">_xlfn.IFS(OR($K61="Ghana", $K61="Nigeria"), "Anglophone", OR($K61="Togo", $K61="Benin", $K61="Senegal"), "Francophone")</f>
        <v>Francophone</v>
      </c>
      <c r="P61" s="1" t="str">
        <f>LEFT(Int_breweries[[#This Row],[MONTHS]], 3)</f>
        <v>Dec</v>
      </c>
    </row>
    <row r="62" spans="1:16" ht="12.5" x14ac:dyDescent="0.25">
      <c r="A62" s="1">
        <v>10161</v>
      </c>
      <c r="B62" s="1" t="s">
        <v>45</v>
      </c>
      <c r="C62" s="1" t="s">
        <v>46</v>
      </c>
      <c r="D62" t="s">
        <v>67</v>
      </c>
      <c r="E62" s="1">
        <v>150</v>
      </c>
      <c r="F62" s="1">
        <v>200</v>
      </c>
      <c r="G62" s="1">
        <v>847</v>
      </c>
      <c r="H62" s="1">
        <f>Int_breweries[[#This Row],[PLANT_COST]]*Int_breweries[[#This Row],[QUANTITY]]</f>
        <v>127050</v>
      </c>
      <c r="I62" s="1">
        <v>169400</v>
      </c>
      <c r="J62" s="1">
        <v>42350</v>
      </c>
      <c r="K62" s="1" t="s">
        <v>14</v>
      </c>
      <c r="L62" t="s">
        <v>61</v>
      </c>
      <c r="M62" s="1" t="s">
        <v>16</v>
      </c>
      <c r="N62" s="1">
        <v>2019</v>
      </c>
      <c r="O62" t="str" cm="1">
        <f t="array" ref="O62">_xlfn.IFS(OR($K62="Ghana", $K62="Nigeria"), "Anglophone", OR($K62="Togo", $K62="Benin", $K62="Senegal"), "Francophone")</f>
        <v>Anglophone</v>
      </c>
      <c r="P62" s="1" t="str">
        <f>LEFT(Int_breweries[[#This Row],[MONTHS]], 3)</f>
        <v>Jan</v>
      </c>
    </row>
    <row r="63" spans="1:16" ht="12.5" x14ac:dyDescent="0.25">
      <c r="A63" s="1">
        <v>10162</v>
      </c>
      <c r="B63" s="1" t="s">
        <v>17</v>
      </c>
      <c r="C63" s="1" t="s">
        <v>18</v>
      </c>
      <c r="D63" t="s">
        <v>68</v>
      </c>
      <c r="E63" s="1">
        <v>80</v>
      </c>
      <c r="F63" s="1">
        <v>150</v>
      </c>
      <c r="G63" s="1">
        <v>931</v>
      </c>
      <c r="H63" s="1">
        <f>Int_breweries[[#This Row],[PLANT_COST]]*Int_breweries[[#This Row],[QUANTITY]]</f>
        <v>74480</v>
      </c>
      <c r="I63" s="1">
        <v>139650</v>
      </c>
      <c r="J63" s="1">
        <v>65170</v>
      </c>
      <c r="K63" s="1" t="s">
        <v>19</v>
      </c>
      <c r="L63" t="s">
        <v>62</v>
      </c>
      <c r="M63" s="1" t="s">
        <v>21</v>
      </c>
      <c r="N63" s="1">
        <v>2018</v>
      </c>
      <c r="O63" t="str" cm="1">
        <f t="array" ref="O63">_xlfn.IFS(OR($K63="Ghana", $K63="Nigeria"), "Anglophone", OR($K63="Togo", $K63="Benin", $K63="Senegal"), "Francophone")</f>
        <v>Anglophone</v>
      </c>
      <c r="P63" s="1" t="str">
        <f>LEFT(Int_breweries[[#This Row],[MONTHS]], 3)</f>
        <v>Feb</v>
      </c>
    </row>
    <row r="64" spans="1:16" ht="12.5" x14ac:dyDescent="0.25">
      <c r="A64" s="1">
        <v>10163</v>
      </c>
      <c r="B64" s="1" t="s">
        <v>49</v>
      </c>
      <c r="C64" s="1" t="s">
        <v>50</v>
      </c>
      <c r="D64" t="s">
        <v>69</v>
      </c>
      <c r="E64" s="1">
        <v>90</v>
      </c>
      <c r="F64" s="1">
        <v>150</v>
      </c>
      <c r="G64" s="1">
        <v>768</v>
      </c>
      <c r="H64" s="1">
        <f>Int_breweries[[#This Row],[PLANT_COST]]*Int_breweries[[#This Row],[QUANTITY]]</f>
        <v>69120</v>
      </c>
      <c r="I64" s="1">
        <v>115200</v>
      </c>
      <c r="J64" s="1">
        <v>46080</v>
      </c>
      <c r="K64" s="1" t="s">
        <v>24</v>
      </c>
      <c r="L64" t="s">
        <v>15</v>
      </c>
      <c r="M64" s="1" t="s">
        <v>25</v>
      </c>
      <c r="N64" s="1">
        <v>2017</v>
      </c>
      <c r="O64" t="str" cm="1">
        <f t="array" ref="O64">_xlfn.IFS(OR($K64="Ghana", $K64="Nigeria"), "Anglophone", OR($K64="Togo", $K64="Benin", $K64="Senegal"), "Francophone")</f>
        <v>Francophone</v>
      </c>
      <c r="P64" s="1" t="str">
        <f>LEFT(Int_breweries[[#This Row],[MONTHS]], 3)</f>
        <v>Mar</v>
      </c>
    </row>
    <row r="65" spans="1:16" ht="12.5" x14ac:dyDescent="0.25">
      <c r="A65" s="1">
        <v>10164</v>
      </c>
      <c r="B65" s="1" t="s">
        <v>26</v>
      </c>
      <c r="C65" s="1" t="s">
        <v>27</v>
      </c>
      <c r="D65" t="s">
        <v>63</v>
      </c>
      <c r="E65" s="1">
        <v>150</v>
      </c>
      <c r="F65" s="1">
        <v>200</v>
      </c>
      <c r="G65" s="1">
        <v>736</v>
      </c>
      <c r="H65" s="1">
        <f>Int_breweries[[#This Row],[PLANT_COST]]*Int_breweries[[#This Row],[QUANTITY]]</f>
        <v>110400</v>
      </c>
      <c r="I65" s="1">
        <v>147200</v>
      </c>
      <c r="J65" s="1">
        <v>36800</v>
      </c>
      <c r="K65" s="1" t="s">
        <v>28</v>
      </c>
      <c r="L65" t="s">
        <v>58</v>
      </c>
      <c r="M65" s="1" t="s">
        <v>29</v>
      </c>
      <c r="N65" s="1">
        <v>2017</v>
      </c>
      <c r="O65" t="str" cm="1">
        <f t="array" ref="O65">_xlfn.IFS(OR($K65="Ghana", $K65="Nigeria"), "Anglophone", OR($K65="Togo", $K65="Benin", $K65="Senegal"), "Francophone")</f>
        <v>Francophone</v>
      </c>
      <c r="P65" s="1" t="str">
        <f>LEFT(Int_breweries[[#This Row],[MONTHS]], 3)</f>
        <v>Apr</v>
      </c>
    </row>
    <row r="66" spans="1:16" ht="12.5" x14ac:dyDescent="0.25">
      <c r="A66" s="1">
        <v>10165</v>
      </c>
      <c r="B66" s="1" t="s">
        <v>22</v>
      </c>
      <c r="C66" s="1" t="s">
        <v>23</v>
      </c>
      <c r="D66" t="s">
        <v>64</v>
      </c>
      <c r="E66" s="1">
        <v>250</v>
      </c>
      <c r="F66" s="1">
        <v>500</v>
      </c>
      <c r="G66" s="1">
        <v>780</v>
      </c>
      <c r="H66" s="1">
        <f>Int_breweries[[#This Row],[PLANT_COST]]*Int_breweries[[#This Row],[QUANTITY]]</f>
        <v>195000</v>
      </c>
      <c r="I66" s="1">
        <v>390000</v>
      </c>
      <c r="J66" s="1">
        <v>195000</v>
      </c>
      <c r="K66" s="1" t="s">
        <v>32</v>
      </c>
      <c r="L66" t="s">
        <v>59</v>
      </c>
      <c r="M66" s="1" t="s">
        <v>33</v>
      </c>
      <c r="N66" s="1">
        <v>2019</v>
      </c>
      <c r="O66" t="str" cm="1">
        <f t="array" ref="O66">_xlfn.IFS(OR($K66="Ghana", $K66="Nigeria"), "Anglophone", OR($K66="Togo", $K66="Benin", $K66="Senegal"), "Francophone")</f>
        <v>Francophone</v>
      </c>
      <c r="P66" s="1" t="str">
        <f>LEFT(Int_breweries[[#This Row],[MONTHS]], 3)</f>
        <v>May</v>
      </c>
    </row>
    <row r="67" spans="1:16" ht="12.5" x14ac:dyDescent="0.25">
      <c r="A67" s="1">
        <v>10166</v>
      </c>
      <c r="B67" s="1" t="s">
        <v>12</v>
      </c>
      <c r="C67" s="1" t="s">
        <v>13</v>
      </c>
      <c r="D67" t="s">
        <v>65</v>
      </c>
      <c r="E67" s="1">
        <v>180</v>
      </c>
      <c r="F67" s="1">
        <v>450</v>
      </c>
      <c r="G67" s="1">
        <v>918</v>
      </c>
      <c r="H67" s="1">
        <f>Int_breweries[[#This Row],[PLANT_COST]]*Int_breweries[[#This Row],[QUANTITY]]</f>
        <v>165240</v>
      </c>
      <c r="I67" s="1">
        <v>413100</v>
      </c>
      <c r="J67" s="1">
        <v>247860</v>
      </c>
      <c r="K67" s="1" t="s">
        <v>14</v>
      </c>
      <c r="L67" t="s">
        <v>60</v>
      </c>
      <c r="M67" s="1" t="s">
        <v>34</v>
      </c>
      <c r="N67" s="1">
        <v>2017</v>
      </c>
      <c r="O67" t="str" cm="1">
        <f t="array" ref="O67">_xlfn.IFS(OR($K67="Ghana", $K67="Nigeria"), "Anglophone", OR($K67="Togo", $K67="Benin", $K67="Senegal"), "Francophone")</f>
        <v>Anglophone</v>
      </c>
      <c r="P67" s="1" t="str">
        <f>LEFT(Int_breweries[[#This Row],[MONTHS]], 3)</f>
        <v>Jun</v>
      </c>
    </row>
    <row r="68" spans="1:16" ht="12.5" x14ac:dyDescent="0.25">
      <c r="A68" s="1">
        <v>10167</v>
      </c>
      <c r="B68" s="1" t="s">
        <v>30</v>
      </c>
      <c r="C68" s="1" t="s">
        <v>31</v>
      </c>
      <c r="D68" t="s">
        <v>66</v>
      </c>
      <c r="E68" s="1">
        <v>170</v>
      </c>
      <c r="F68" s="1">
        <v>250</v>
      </c>
      <c r="G68" s="1">
        <v>769</v>
      </c>
      <c r="H68" s="1">
        <f>Int_breweries[[#This Row],[PLANT_COST]]*Int_breweries[[#This Row],[QUANTITY]]</f>
        <v>130730</v>
      </c>
      <c r="I68" s="1">
        <v>192250</v>
      </c>
      <c r="J68" s="1">
        <v>61520</v>
      </c>
      <c r="K68" s="1" t="s">
        <v>19</v>
      </c>
      <c r="L68" t="s">
        <v>61</v>
      </c>
      <c r="M68" s="1" t="s">
        <v>37</v>
      </c>
      <c r="N68" s="1">
        <v>2019</v>
      </c>
      <c r="O68" t="str" cm="1">
        <f t="array" ref="O68">_xlfn.IFS(OR($K68="Ghana", $K68="Nigeria"), "Anglophone", OR($K68="Togo", $K68="Benin", $K68="Senegal"), "Francophone")</f>
        <v>Anglophone</v>
      </c>
      <c r="P68" s="1" t="str">
        <f>LEFT(Int_breweries[[#This Row],[MONTHS]], 3)</f>
        <v>Jul</v>
      </c>
    </row>
    <row r="69" spans="1:16" ht="12.5" x14ac:dyDescent="0.25">
      <c r="A69" s="1">
        <v>10168</v>
      </c>
      <c r="B69" s="1" t="s">
        <v>42</v>
      </c>
      <c r="C69" s="1" t="s">
        <v>43</v>
      </c>
      <c r="D69" t="s">
        <v>67</v>
      </c>
      <c r="E69" s="1">
        <v>150</v>
      </c>
      <c r="F69" s="1">
        <v>200</v>
      </c>
      <c r="G69" s="1">
        <v>712</v>
      </c>
      <c r="H69" s="1">
        <f>Int_breweries[[#This Row],[PLANT_COST]]*Int_breweries[[#This Row],[QUANTITY]]</f>
        <v>106800</v>
      </c>
      <c r="I69" s="1">
        <v>142400</v>
      </c>
      <c r="J69" s="1">
        <v>35600</v>
      </c>
      <c r="K69" s="1" t="s">
        <v>24</v>
      </c>
      <c r="L69" t="s">
        <v>62</v>
      </c>
      <c r="M69" s="1" t="s">
        <v>38</v>
      </c>
      <c r="N69" s="1">
        <v>2019</v>
      </c>
      <c r="O69" t="str" cm="1">
        <f t="array" ref="O69">_xlfn.IFS(OR($K69="Ghana", $K69="Nigeria"), "Anglophone", OR($K69="Togo", $K69="Benin", $K69="Senegal"), "Francophone")</f>
        <v>Francophone</v>
      </c>
      <c r="P69" s="1" t="str">
        <f>LEFT(Int_breweries[[#This Row],[MONTHS]], 3)</f>
        <v>Aug</v>
      </c>
    </row>
    <row r="70" spans="1:16" ht="12.5" x14ac:dyDescent="0.25">
      <c r="A70" s="1">
        <v>10169</v>
      </c>
      <c r="B70" s="1" t="s">
        <v>17</v>
      </c>
      <c r="C70" s="1" t="s">
        <v>18</v>
      </c>
      <c r="D70" t="s">
        <v>68</v>
      </c>
      <c r="E70" s="1">
        <v>80</v>
      </c>
      <c r="F70" s="1">
        <v>150</v>
      </c>
      <c r="G70" s="1">
        <v>768</v>
      </c>
      <c r="H70" s="1">
        <f>Int_breweries[[#This Row],[PLANT_COST]]*Int_breweries[[#This Row],[QUANTITY]]</f>
        <v>61440</v>
      </c>
      <c r="I70" s="1">
        <v>115200</v>
      </c>
      <c r="J70" s="1">
        <v>53760</v>
      </c>
      <c r="K70" s="1" t="s">
        <v>28</v>
      </c>
      <c r="L70" t="s">
        <v>15</v>
      </c>
      <c r="M70" s="1" t="s">
        <v>41</v>
      </c>
      <c r="N70" s="1">
        <v>2017</v>
      </c>
      <c r="O70" t="str" cm="1">
        <f t="array" ref="O70">_xlfn.IFS(OR($K70="Ghana", $K70="Nigeria"), "Anglophone", OR($K70="Togo", $K70="Benin", $K70="Senegal"), "Francophone")</f>
        <v>Francophone</v>
      </c>
      <c r="P70" s="1" t="str">
        <f>LEFT(Int_breweries[[#This Row],[MONTHS]], 3)</f>
        <v>Sep</v>
      </c>
    </row>
    <row r="71" spans="1:16" ht="12.5" x14ac:dyDescent="0.25">
      <c r="A71" s="1">
        <v>10170</v>
      </c>
      <c r="B71" s="1" t="s">
        <v>17</v>
      </c>
      <c r="C71" s="1" t="s">
        <v>18</v>
      </c>
      <c r="D71" t="s">
        <v>69</v>
      </c>
      <c r="E71" s="1">
        <v>90</v>
      </c>
      <c r="F71" s="1">
        <v>150</v>
      </c>
      <c r="G71" s="1">
        <v>940</v>
      </c>
      <c r="H71" s="1">
        <f>Int_breweries[[#This Row],[PLANT_COST]]*Int_breweries[[#This Row],[QUANTITY]]</f>
        <v>84600</v>
      </c>
      <c r="I71" s="1">
        <v>141000</v>
      </c>
      <c r="J71" s="1">
        <v>56400</v>
      </c>
      <c r="K71" s="1" t="s">
        <v>32</v>
      </c>
      <c r="L71" t="s">
        <v>58</v>
      </c>
      <c r="M71" s="1" t="s">
        <v>44</v>
      </c>
      <c r="N71" s="1">
        <v>2018</v>
      </c>
      <c r="O71" t="str" cm="1">
        <f t="array" ref="O71">_xlfn.IFS(OR($K71="Ghana", $K71="Nigeria"), "Anglophone", OR($K71="Togo", $K71="Benin", $K71="Senegal"), "Francophone")</f>
        <v>Francophone</v>
      </c>
      <c r="P71" s="1" t="str">
        <f>LEFT(Int_breweries[[#This Row],[MONTHS]], 3)</f>
        <v>Oct</v>
      </c>
    </row>
    <row r="72" spans="1:16" ht="12.5" x14ac:dyDescent="0.25">
      <c r="A72" s="1">
        <v>10171</v>
      </c>
      <c r="B72" s="1" t="s">
        <v>51</v>
      </c>
      <c r="C72" s="1" t="s">
        <v>52</v>
      </c>
      <c r="D72" t="s">
        <v>63</v>
      </c>
      <c r="E72" s="1">
        <v>150</v>
      </c>
      <c r="F72" s="1">
        <v>200</v>
      </c>
      <c r="G72" s="1">
        <v>948</v>
      </c>
      <c r="H72" s="1">
        <f>Int_breweries[[#This Row],[PLANT_COST]]*Int_breweries[[#This Row],[QUANTITY]]</f>
        <v>142200</v>
      </c>
      <c r="I72" s="1">
        <v>189600</v>
      </c>
      <c r="J72" s="1">
        <v>47400</v>
      </c>
      <c r="K72" s="1" t="s">
        <v>14</v>
      </c>
      <c r="L72" t="s">
        <v>59</v>
      </c>
      <c r="M72" s="1" t="s">
        <v>47</v>
      </c>
      <c r="N72" s="1">
        <v>2018</v>
      </c>
      <c r="O72" t="str" cm="1">
        <f t="array" ref="O72">_xlfn.IFS(OR($K72="Ghana", $K72="Nigeria"), "Anglophone", OR($K72="Togo", $K72="Benin", $K72="Senegal"), "Francophone")</f>
        <v>Anglophone</v>
      </c>
      <c r="P72" s="1" t="str">
        <f>LEFT(Int_breweries[[#This Row],[MONTHS]], 3)</f>
        <v>Nov</v>
      </c>
    </row>
    <row r="73" spans="1:16" ht="12.5" x14ac:dyDescent="0.25">
      <c r="A73" s="1">
        <v>10172</v>
      </c>
      <c r="B73" s="1" t="s">
        <v>26</v>
      </c>
      <c r="C73" s="1" t="s">
        <v>27</v>
      </c>
      <c r="D73" t="s">
        <v>64</v>
      </c>
      <c r="E73" s="1">
        <v>250</v>
      </c>
      <c r="F73" s="1">
        <v>500</v>
      </c>
      <c r="G73" s="1">
        <v>869</v>
      </c>
      <c r="H73" s="1">
        <f>Int_breweries[[#This Row],[PLANT_COST]]*Int_breweries[[#This Row],[QUANTITY]]</f>
        <v>217250</v>
      </c>
      <c r="I73" s="1">
        <v>434500</v>
      </c>
      <c r="J73" s="1">
        <v>217250</v>
      </c>
      <c r="K73" s="1" t="s">
        <v>19</v>
      </c>
      <c r="L73" t="s">
        <v>60</v>
      </c>
      <c r="M73" s="1" t="s">
        <v>48</v>
      </c>
      <c r="N73" s="1">
        <v>2018</v>
      </c>
      <c r="O73" t="str" cm="1">
        <f t="array" ref="O73">_xlfn.IFS(OR($K73="Ghana", $K73="Nigeria"), "Anglophone", OR($K73="Togo", $K73="Benin", $K73="Senegal"), "Francophone")</f>
        <v>Anglophone</v>
      </c>
      <c r="P73" s="1" t="str">
        <f>LEFT(Int_breweries[[#This Row],[MONTHS]], 3)</f>
        <v>Dec</v>
      </c>
    </row>
    <row r="74" spans="1:16" ht="12.5" x14ac:dyDescent="0.25">
      <c r="A74" s="1">
        <v>10173</v>
      </c>
      <c r="B74" s="1" t="s">
        <v>39</v>
      </c>
      <c r="C74" s="1" t="s">
        <v>40</v>
      </c>
      <c r="D74" t="s">
        <v>65</v>
      </c>
      <c r="E74" s="1">
        <v>180</v>
      </c>
      <c r="F74" s="1">
        <v>450</v>
      </c>
      <c r="G74" s="1">
        <v>727</v>
      </c>
      <c r="H74" s="1">
        <f>Int_breweries[[#This Row],[PLANT_COST]]*Int_breweries[[#This Row],[QUANTITY]]</f>
        <v>130860</v>
      </c>
      <c r="I74" s="1">
        <v>327150</v>
      </c>
      <c r="J74" s="1">
        <v>196290</v>
      </c>
      <c r="K74" s="1" t="s">
        <v>24</v>
      </c>
      <c r="L74" t="s">
        <v>61</v>
      </c>
      <c r="M74" s="1" t="s">
        <v>16</v>
      </c>
      <c r="N74" s="1">
        <v>2019</v>
      </c>
      <c r="O74" t="str" cm="1">
        <f t="array" ref="O74">_xlfn.IFS(OR($K74="Ghana", $K74="Nigeria"), "Anglophone", OR($K74="Togo", $K74="Benin", $K74="Senegal"), "Francophone")</f>
        <v>Francophone</v>
      </c>
      <c r="P74" s="1" t="str">
        <f>LEFT(Int_breweries[[#This Row],[MONTHS]], 3)</f>
        <v>Jan</v>
      </c>
    </row>
    <row r="75" spans="1:16" ht="12.5" x14ac:dyDescent="0.25">
      <c r="A75" s="1">
        <v>10174</v>
      </c>
      <c r="B75" s="1" t="s">
        <v>51</v>
      </c>
      <c r="C75" s="1" t="s">
        <v>52</v>
      </c>
      <c r="D75" t="s">
        <v>66</v>
      </c>
      <c r="E75" s="1">
        <v>170</v>
      </c>
      <c r="F75" s="1">
        <v>250</v>
      </c>
      <c r="G75" s="1">
        <v>833</v>
      </c>
      <c r="H75" s="1">
        <f>Int_breweries[[#This Row],[PLANT_COST]]*Int_breweries[[#This Row],[QUANTITY]]</f>
        <v>141610</v>
      </c>
      <c r="I75" s="1">
        <v>208250</v>
      </c>
      <c r="J75" s="1">
        <v>66640</v>
      </c>
      <c r="K75" s="1" t="s">
        <v>28</v>
      </c>
      <c r="L75" t="s">
        <v>62</v>
      </c>
      <c r="M75" s="1" t="s">
        <v>21</v>
      </c>
      <c r="N75" s="1">
        <v>2018</v>
      </c>
      <c r="O75" t="str" cm="1">
        <f t="array" ref="O75">_xlfn.IFS(OR($K75="Ghana", $K75="Nigeria"), "Anglophone", OR($K75="Togo", $K75="Benin", $K75="Senegal"), "Francophone")</f>
        <v>Francophone</v>
      </c>
      <c r="P75" s="1" t="str">
        <f>LEFT(Int_breweries[[#This Row],[MONTHS]], 3)</f>
        <v>Feb</v>
      </c>
    </row>
    <row r="76" spans="1:16" ht="12.5" x14ac:dyDescent="0.25">
      <c r="A76" s="1">
        <v>10175</v>
      </c>
      <c r="B76" s="1" t="s">
        <v>22</v>
      </c>
      <c r="C76" s="1" t="s">
        <v>23</v>
      </c>
      <c r="D76" t="s">
        <v>67</v>
      </c>
      <c r="E76" s="1">
        <v>150</v>
      </c>
      <c r="F76" s="1">
        <v>200</v>
      </c>
      <c r="G76" s="1">
        <v>974</v>
      </c>
      <c r="H76" s="1">
        <f>Int_breweries[[#This Row],[PLANT_COST]]*Int_breweries[[#This Row],[QUANTITY]]</f>
        <v>146100</v>
      </c>
      <c r="I76" s="1">
        <v>194800</v>
      </c>
      <c r="J76" s="1">
        <v>48700</v>
      </c>
      <c r="K76" s="1" t="s">
        <v>32</v>
      </c>
      <c r="L76" t="s">
        <v>15</v>
      </c>
      <c r="M76" s="1" t="s">
        <v>25</v>
      </c>
      <c r="N76" s="1">
        <v>2018</v>
      </c>
      <c r="O76" t="str" cm="1">
        <f t="array" ref="O76">_xlfn.IFS(OR($K76="Ghana", $K76="Nigeria"), "Anglophone", OR($K76="Togo", $K76="Benin", $K76="Senegal"), "Francophone")</f>
        <v>Francophone</v>
      </c>
      <c r="P76" s="1" t="str">
        <f>LEFT(Int_breweries[[#This Row],[MONTHS]], 3)</f>
        <v>Mar</v>
      </c>
    </row>
    <row r="77" spans="1:16" ht="12.5" x14ac:dyDescent="0.25">
      <c r="A77" s="1">
        <v>10176</v>
      </c>
      <c r="B77" s="1" t="s">
        <v>17</v>
      </c>
      <c r="C77" s="1" t="s">
        <v>18</v>
      </c>
      <c r="D77" t="s">
        <v>68</v>
      </c>
      <c r="E77" s="1">
        <v>80</v>
      </c>
      <c r="F77" s="1">
        <v>150</v>
      </c>
      <c r="G77" s="1">
        <v>713</v>
      </c>
      <c r="H77" s="1">
        <f>Int_breweries[[#This Row],[PLANT_COST]]*Int_breweries[[#This Row],[QUANTITY]]</f>
        <v>57040</v>
      </c>
      <c r="I77" s="1">
        <v>106950</v>
      </c>
      <c r="J77" s="1">
        <v>49910</v>
      </c>
      <c r="K77" s="1" t="s">
        <v>14</v>
      </c>
      <c r="L77" t="s">
        <v>58</v>
      </c>
      <c r="M77" s="1" t="s">
        <v>29</v>
      </c>
      <c r="N77" s="1">
        <v>2017</v>
      </c>
      <c r="O77" t="str" cm="1">
        <f t="array" ref="O77">_xlfn.IFS(OR($K77="Ghana", $K77="Nigeria"), "Anglophone", OR($K77="Togo", $K77="Benin", $K77="Senegal"), "Francophone")</f>
        <v>Anglophone</v>
      </c>
      <c r="P77" s="1" t="str">
        <f>LEFT(Int_breweries[[#This Row],[MONTHS]], 3)</f>
        <v>Apr</v>
      </c>
    </row>
    <row r="78" spans="1:16" ht="12.5" x14ac:dyDescent="0.25">
      <c r="A78" s="1">
        <v>10177</v>
      </c>
      <c r="B78" s="1" t="s">
        <v>22</v>
      </c>
      <c r="C78" s="1" t="s">
        <v>23</v>
      </c>
      <c r="D78" t="s">
        <v>69</v>
      </c>
      <c r="E78" s="1">
        <v>90</v>
      </c>
      <c r="F78" s="1">
        <v>150</v>
      </c>
      <c r="G78" s="1">
        <v>729</v>
      </c>
      <c r="H78" s="1">
        <f>Int_breweries[[#This Row],[PLANT_COST]]*Int_breweries[[#This Row],[QUANTITY]]</f>
        <v>65610</v>
      </c>
      <c r="I78" s="1">
        <v>109350</v>
      </c>
      <c r="J78" s="1">
        <v>43740</v>
      </c>
      <c r="K78" s="1" t="s">
        <v>19</v>
      </c>
      <c r="L78" t="s">
        <v>59</v>
      </c>
      <c r="M78" s="1" t="s">
        <v>33</v>
      </c>
      <c r="N78" s="1">
        <v>2017</v>
      </c>
      <c r="O78" t="str" cm="1">
        <f t="array" ref="O78">_xlfn.IFS(OR($K78="Ghana", $K78="Nigeria"), "Anglophone", OR($K78="Togo", $K78="Benin", $K78="Senegal"), "Francophone")</f>
        <v>Anglophone</v>
      </c>
      <c r="P78" s="1" t="str">
        <f>LEFT(Int_breweries[[#This Row],[MONTHS]], 3)</f>
        <v>May</v>
      </c>
    </row>
    <row r="79" spans="1:16" ht="12.5" x14ac:dyDescent="0.25">
      <c r="A79" s="1">
        <v>10178</v>
      </c>
      <c r="B79" s="1" t="s">
        <v>35</v>
      </c>
      <c r="C79" s="1" t="s">
        <v>36</v>
      </c>
      <c r="D79" t="s">
        <v>63</v>
      </c>
      <c r="E79" s="1">
        <v>150</v>
      </c>
      <c r="F79" s="1">
        <v>200</v>
      </c>
      <c r="G79" s="1">
        <v>946</v>
      </c>
      <c r="H79" s="1">
        <f>Int_breweries[[#This Row],[PLANT_COST]]*Int_breweries[[#This Row],[QUANTITY]]</f>
        <v>141900</v>
      </c>
      <c r="I79" s="1">
        <v>189200</v>
      </c>
      <c r="J79" s="1">
        <v>47300</v>
      </c>
      <c r="K79" s="1" t="s">
        <v>24</v>
      </c>
      <c r="L79" t="s">
        <v>60</v>
      </c>
      <c r="M79" s="1" t="s">
        <v>34</v>
      </c>
      <c r="N79" s="1">
        <v>2019</v>
      </c>
      <c r="O79" t="str" cm="1">
        <f t="array" ref="O79">_xlfn.IFS(OR($K79="Ghana", $K79="Nigeria"), "Anglophone", OR($K79="Togo", $K79="Benin", $K79="Senegal"), "Francophone")</f>
        <v>Francophone</v>
      </c>
      <c r="P79" s="1" t="str">
        <f>LEFT(Int_breweries[[#This Row],[MONTHS]], 3)</f>
        <v>Jun</v>
      </c>
    </row>
    <row r="80" spans="1:16" ht="12.5" x14ac:dyDescent="0.25">
      <c r="A80" s="1">
        <v>10179</v>
      </c>
      <c r="B80" s="1" t="s">
        <v>30</v>
      </c>
      <c r="C80" s="1" t="s">
        <v>31</v>
      </c>
      <c r="D80" t="s">
        <v>64</v>
      </c>
      <c r="E80" s="1">
        <v>250</v>
      </c>
      <c r="F80" s="1">
        <v>500</v>
      </c>
      <c r="G80" s="1">
        <v>739</v>
      </c>
      <c r="H80" s="1">
        <f>Int_breweries[[#This Row],[PLANT_COST]]*Int_breweries[[#This Row],[QUANTITY]]</f>
        <v>184750</v>
      </c>
      <c r="I80" s="1">
        <v>369500</v>
      </c>
      <c r="J80" s="1">
        <v>184750</v>
      </c>
      <c r="K80" s="1" t="s">
        <v>28</v>
      </c>
      <c r="L80" t="s">
        <v>61</v>
      </c>
      <c r="M80" s="1" t="s">
        <v>37</v>
      </c>
      <c r="N80" s="1">
        <v>2017</v>
      </c>
      <c r="O80" t="str" cm="1">
        <f t="array" ref="O80">_xlfn.IFS(OR($K80="Ghana", $K80="Nigeria"), "Anglophone", OR($K80="Togo", $K80="Benin", $K80="Senegal"), "Francophone")</f>
        <v>Francophone</v>
      </c>
      <c r="P80" s="1" t="str">
        <f>LEFT(Int_breweries[[#This Row],[MONTHS]], 3)</f>
        <v>Jul</v>
      </c>
    </row>
    <row r="81" spans="1:16" ht="12.5" x14ac:dyDescent="0.25">
      <c r="A81" s="1">
        <v>10180</v>
      </c>
      <c r="B81" s="1" t="s">
        <v>12</v>
      </c>
      <c r="C81" s="1" t="s">
        <v>13</v>
      </c>
      <c r="D81" t="s">
        <v>65</v>
      </c>
      <c r="E81" s="1">
        <v>180</v>
      </c>
      <c r="F81" s="1">
        <v>450</v>
      </c>
      <c r="G81" s="1">
        <v>795</v>
      </c>
      <c r="H81" s="1">
        <f>Int_breweries[[#This Row],[PLANT_COST]]*Int_breweries[[#This Row],[QUANTITY]]</f>
        <v>143100</v>
      </c>
      <c r="I81" s="1">
        <v>357750</v>
      </c>
      <c r="J81" s="1">
        <v>214650</v>
      </c>
      <c r="K81" s="1" t="s">
        <v>32</v>
      </c>
      <c r="L81" t="s">
        <v>62</v>
      </c>
      <c r="M81" s="1" t="s">
        <v>38</v>
      </c>
      <c r="N81" s="1">
        <v>2019</v>
      </c>
      <c r="O81" t="str" cm="1">
        <f t="array" ref="O81">_xlfn.IFS(OR($K81="Ghana", $K81="Nigeria"), "Anglophone", OR($K81="Togo", $K81="Benin", $K81="Senegal"), "Francophone")</f>
        <v>Francophone</v>
      </c>
      <c r="P81" s="1" t="str">
        <f>LEFT(Int_breweries[[#This Row],[MONTHS]], 3)</f>
        <v>Aug</v>
      </c>
    </row>
    <row r="82" spans="1:16" ht="12.5" x14ac:dyDescent="0.25">
      <c r="A82" s="1">
        <v>10181</v>
      </c>
      <c r="B82" s="1" t="s">
        <v>12</v>
      </c>
      <c r="C82" s="1" t="s">
        <v>13</v>
      </c>
      <c r="D82" t="s">
        <v>66</v>
      </c>
      <c r="E82" s="1">
        <v>170</v>
      </c>
      <c r="F82" s="1">
        <v>250</v>
      </c>
      <c r="G82" s="1">
        <v>701</v>
      </c>
      <c r="H82" s="1">
        <f>Int_breweries[[#This Row],[PLANT_COST]]*Int_breweries[[#This Row],[QUANTITY]]</f>
        <v>119170</v>
      </c>
      <c r="I82" s="1">
        <v>175250</v>
      </c>
      <c r="J82" s="1">
        <v>56080</v>
      </c>
      <c r="K82" s="1" t="s">
        <v>14</v>
      </c>
      <c r="L82" t="s">
        <v>15</v>
      </c>
      <c r="M82" s="1" t="s">
        <v>41</v>
      </c>
      <c r="N82" s="1">
        <v>2018</v>
      </c>
      <c r="O82" t="str" cm="1">
        <f t="array" ref="O82">_xlfn.IFS(OR($K82="Ghana", $K82="Nigeria"), "Anglophone", OR($K82="Togo", $K82="Benin", $K82="Senegal"), "Francophone")</f>
        <v>Anglophone</v>
      </c>
      <c r="P82" s="1" t="str">
        <f>LEFT(Int_breweries[[#This Row],[MONTHS]], 3)</f>
        <v>Sep</v>
      </c>
    </row>
    <row r="83" spans="1:16" ht="12.5" x14ac:dyDescent="0.25">
      <c r="A83" s="1">
        <v>10182</v>
      </c>
      <c r="B83" s="1" t="s">
        <v>30</v>
      </c>
      <c r="C83" s="1" t="s">
        <v>31</v>
      </c>
      <c r="D83" t="s">
        <v>67</v>
      </c>
      <c r="E83" s="1">
        <v>150</v>
      </c>
      <c r="F83" s="1">
        <v>200</v>
      </c>
      <c r="G83" s="1">
        <v>773</v>
      </c>
      <c r="H83" s="1">
        <f>Int_breweries[[#This Row],[PLANT_COST]]*Int_breweries[[#This Row],[QUANTITY]]</f>
        <v>115950</v>
      </c>
      <c r="I83" s="1">
        <v>154600</v>
      </c>
      <c r="J83" s="1">
        <v>38650</v>
      </c>
      <c r="K83" s="1" t="s">
        <v>19</v>
      </c>
      <c r="L83" t="s">
        <v>58</v>
      </c>
      <c r="M83" s="1" t="s">
        <v>44</v>
      </c>
      <c r="N83" s="1">
        <v>2019</v>
      </c>
      <c r="O83" t="str" cm="1">
        <f t="array" ref="O83">_xlfn.IFS(OR($K83="Ghana", $K83="Nigeria"), "Anglophone", OR($K83="Togo", $K83="Benin", $K83="Senegal"), "Francophone")</f>
        <v>Anglophone</v>
      </c>
      <c r="P83" s="1" t="str">
        <f>LEFT(Int_breweries[[#This Row],[MONTHS]], 3)</f>
        <v>Oct</v>
      </c>
    </row>
    <row r="84" spans="1:16" ht="12.5" x14ac:dyDescent="0.25">
      <c r="A84" s="1">
        <v>10183</v>
      </c>
      <c r="B84" s="1" t="s">
        <v>26</v>
      </c>
      <c r="C84" s="1" t="s">
        <v>27</v>
      </c>
      <c r="D84" t="s">
        <v>68</v>
      </c>
      <c r="E84" s="1">
        <v>80</v>
      </c>
      <c r="F84" s="1">
        <v>150</v>
      </c>
      <c r="G84" s="1">
        <v>801</v>
      </c>
      <c r="H84" s="1">
        <f>Int_breweries[[#This Row],[PLANT_COST]]*Int_breweries[[#This Row],[QUANTITY]]</f>
        <v>64080</v>
      </c>
      <c r="I84" s="1">
        <v>120150</v>
      </c>
      <c r="J84" s="1">
        <v>56070</v>
      </c>
      <c r="K84" s="1" t="s">
        <v>24</v>
      </c>
      <c r="L84" t="s">
        <v>59</v>
      </c>
      <c r="M84" s="1" t="s">
        <v>47</v>
      </c>
      <c r="N84" s="1">
        <v>2018</v>
      </c>
      <c r="O84" t="str" cm="1">
        <f t="array" ref="O84">_xlfn.IFS(OR($K84="Ghana", $K84="Nigeria"), "Anglophone", OR($K84="Togo", $K84="Benin", $K84="Senegal"), "Francophone")</f>
        <v>Francophone</v>
      </c>
      <c r="P84" s="1" t="str">
        <f>LEFT(Int_breweries[[#This Row],[MONTHS]], 3)</f>
        <v>Nov</v>
      </c>
    </row>
    <row r="85" spans="1:16" ht="12.5" x14ac:dyDescent="0.25">
      <c r="A85" s="1">
        <v>10184</v>
      </c>
      <c r="B85" s="1" t="s">
        <v>39</v>
      </c>
      <c r="C85" s="1" t="s">
        <v>40</v>
      </c>
      <c r="D85" t="s">
        <v>69</v>
      </c>
      <c r="E85" s="1">
        <v>90</v>
      </c>
      <c r="F85" s="1">
        <v>150</v>
      </c>
      <c r="G85" s="1">
        <v>892</v>
      </c>
      <c r="H85" s="1">
        <f>Int_breweries[[#This Row],[PLANT_COST]]*Int_breweries[[#This Row],[QUANTITY]]</f>
        <v>80280</v>
      </c>
      <c r="I85" s="1">
        <v>133800</v>
      </c>
      <c r="J85" s="1">
        <v>53520</v>
      </c>
      <c r="K85" s="1" t="s">
        <v>28</v>
      </c>
      <c r="L85" t="s">
        <v>60</v>
      </c>
      <c r="M85" s="1" t="s">
        <v>48</v>
      </c>
      <c r="N85" s="1">
        <v>2017</v>
      </c>
      <c r="O85" t="str" cm="1">
        <f t="array" ref="O85">_xlfn.IFS(OR($K85="Ghana", $K85="Nigeria"), "Anglophone", OR($K85="Togo", $K85="Benin", $K85="Senegal"), "Francophone")</f>
        <v>Francophone</v>
      </c>
      <c r="P85" s="1" t="str">
        <f>LEFT(Int_breweries[[#This Row],[MONTHS]], 3)</f>
        <v>Dec</v>
      </c>
    </row>
    <row r="86" spans="1:16" ht="12.5" x14ac:dyDescent="0.25">
      <c r="A86" s="1">
        <v>10185</v>
      </c>
      <c r="B86" s="1" t="s">
        <v>51</v>
      </c>
      <c r="C86" s="1" t="s">
        <v>52</v>
      </c>
      <c r="D86" t="s">
        <v>63</v>
      </c>
      <c r="E86" s="1">
        <v>150</v>
      </c>
      <c r="F86" s="1">
        <v>200</v>
      </c>
      <c r="G86" s="1">
        <v>739</v>
      </c>
      <c r="H86" s="1">
        <f>Int_breweries[[#This Row],[PLANT_COST]]*Int_breweries[[#This Row],[QUANTITY]]</f>
        <v>110850</v>
      </c>
      <c r="I86" s="1">
        <v>147800</v>
      </c>
      <c r="J86" s="1">
        <v>36950</v>
      </c>
      <c r="K86" s="1" t="s">
        <v>32</v>
      </c>
      <c r="L86" t="s">
        <v>61</v>
      </c>
      <c r="M86" s="1" t="s">
        <v>16</v>
      </c>
      <c r="N86" s="1">
        <v>2018</v>
      </c>
      <c r="O86" t="str" cm="1">
        <f t="array" ref="O86">_xlfn.IFS(OR($K86="Ghana", $K86="Nigeria"), "Anglophone", OR($K86="Togo", $K86="Benin", $K86="Senegal"), "Francophone")</f>
        <v>Francophone</v>
      </c>
      <c r="P86" s="1" t="str">
        <f>LEFT(Int_breweries[[#This Row],[MONTHS]], 3)</f>
        <v>Jan</v>
      </c>
    </row>
    <row r="87" spans="1:16" ht="12.5" x14ac:dyDescent="0.25">
      <c r="A87" s="1">
        <v>10186</v>
      </c>
      <c r="B87" s="1" t="s">
        <v>22</v>
      </c>
      <c r="C87" s="1" t="s">
        <v>23</v>
      </c>
      <c r="D87" t="s">
        <v>64</v>
      </c>
      <c r="E87" s="1">
        <v>250</v>
      </c>
      <c r="F87" s="1">
        <v>500</v>
      </c>
      <c r="G87" s="1">
        <v>704</v>
      </c>
      <c r="H87" s="1">
        <f>Int_breweries[[#This Row],[PLANT_COST]]*Int_breweries[[#This Row],[QUANTITY]]</f>
        <v>176000</v>
      </c>
      <c r="I87" s="1">
        <v>352000</v>
      </c>
      <c r="J87" s="1">
        <v>176000</v>
      </c>
      <c r="K87" s="1" t="s">
        <v>14</v>
      </c>
      <c r="L87" t="s">
        <v>62</v>
      </c>
      <c r="M87" s="1" t="s">
        <v>21</v>
      </c>
      <c r="N87" s="1">
        <v>2018</v>
      </c>
      <c r="O87" t="str" cm="1">
        <f t="array" ref="O87">_xlfn.IFS(OR($K87="Ghana", $K87="Nigeria"), "Anglophone", OR($K87="Togo", $K87="Benin", $K87="Senegal"), "Francophone")</f>
        <v>Anglophone</v>
      </c>
      <c r="P87" s="1" t="str">
        <f>LEFT(Int_breweries[[#This Row],[MONTHS]], 3)</f>
        <v>Feb</v>
      </c>
    </row>
    <row r="88" spans="1:16" ht="12.5" x14ac:dyDescent="0.25">
      <c r="A88" s="1">
        <v>10187</v>
      </c>
      <c r="B88" s="1" t="s">
        <v>17</v>
      </c>
      <c r="C88" s="1" t="s">
        <v>18</v>
      </c>
      <c r="D88" t="s">
        <v>65</v>
      </c>
      <c r="E88" s="1">
        <v>180</v>
      </c>
      <c r="F88" s="1">
        <v>450</v>
      </c>
      <c r="G88" s="1">
        <v>879</v>
      </c>
      <c r="H88" s="1">
        <f>Int_breweries[[#This Row],[PLANT_COST]]*Int_breweries[[#This Row],[QUANTITY]]</f>
        <v>158220</v>
      </c>
      <c r="I88" s="1">
        <v>395550</v>
      </c>
      <c r="J88" s="1">
        <v>237330</v>
      </c>
      <c r="K88" s="1" t="s">
        <v>19</v>
      </c>
      <c r="L88" t="s">
        <v>15</v>
      </c>
      <c r="M88" s="1" t="s">
        <v>25</v>
      </c>
      <c r="N88" s="1">
        <v>2018</v>
      </c>
      <c r="O88" t="str" cm="1">
        <f t="array" ref="O88">_xlfn.IFS(OR($K88="Ghana", $K88="Nigeria"), "Anglophone", OR($K88="Togo", $K88="Benin", $K88="Senegal"), "Francophone")</f>
        <v>Anglophone</v>
      </c>
      <c r="P88" s="1" t="str">
        <f>LEFT(Int_breweries[[#This Row],[MONTHS]], 3)</f>
        <v>Mar</v>
      </c>
    </row>
    <row r="89" spans="1:16" ht="12.5" x14ac:dyDescent="0.25">
      <c r="A89" s="1">
        <v>10188</v>
      </c>
      <c r="B89" s="1" t="s">
        <v>22</v>
      </c>
      <c r="C89" s="1" t="s">
        <v>23</v>
      </c>
      <c r="D89" t="s">
        <v>66</v>
      </c>
      <c r="E89" s="1">
        <v>170</v>
      </c>
      <c r="F89" s="1">
        <v>250</v>
      </c>
      <c r="G89" s="1">
        <v>993</v>
      </c>
      <c r="H89" s="1">
        <f>Int_breweries[[#This Row],[PLANT_COST]]*Int_breweries[[#This Row],[QUANTITY]]</f>
        <v>168810</v>
      </c>
      <c r="I89" s="1">
        <v>248250</v>
      </c>
      <c r="J89" s="1">
        <v>79440</v>
      </c>
      <c r="K89" s="1" t="s">
        <v>24</v>
      </c>
      <c r="L89" t="s">
        <v>58</v>
      </c>
      <c r="M89" s="1" t="s">
        <v>29</v>
      </c>
      <c r="N89" s="1">
        <v>2017</v>
      </c>
      <c r="O89" t="str" cm="1">
        <f t="array" ref="O89">_xlfn.IFS(OR($K89="Ghana", $K89="Nigeria"), "Anglophone", OR($K89="Togo", $K89="Benin", $K89="Senegal"), "Francophone")</f>
        <v>Francophone</v>
      </c>
      <c r="P89" s="1" t="str">
        <f>LEFT(Int_breweries[[#This Row],[MONTHS]], 3)</f>
        <v>Apr</v>
      </c>
    </row>
    <row r="90" spans="1:16" ht="12.5" x14ac:dyDescent="0.25">
      <c r="A90" s="1">
        <v>10189</v>
      </c>
      <c r="B90" s="1" t="s">
        <v>35</v>
      </c>
      <c r="C90" s="1" t="s">
        <v>36</v>
      </c>
      <c r="D90" t="s">
        <v>67</v>
      </c>
      <c r="E90" s="1">
        <v>150</v>
      </c>
      <c r="F90" s="1">
        <v>200</v>
      </c>
      <c r="G90" s="1">
        <v>820</v>
      </c>
      <c r="H90" s="1">
        <f>Int_breweries[[#This Row],[PLANT_COST]]*Int_breweries[[#This Row],[QUANTITY]]</f>
        <v>123000</v>
      </c>
      <c r="I90" s="1">
        <v>164000</v>
      </c>
      <c r="J90" s="1">
        <v>41000</v>
      </c>
      <c r="K90" s="1" t="s">
        <v>28</v>
      </c>
      <c r="L90" t="s">
        <v>59</v>
      </c>
      <c r="M90" s="1" t="s">
        <v>33</v>
      </c>
      <c r="N90" s="1">
        <v>2018</v>
      </c>
      <c r="O90" t="str" cm="1">
        <f t="array" ref="O90">_xlfn.IFS(OR($K90="Ghana", $K90="Nigeria"), "Anglophone", OR($K90="Togo", $K90="Benin", $K90="Senegal"), "Francophone")</f>
        <v>Francophone</v>
      </c>
      <c r="P90" s="1" t="str">
        <f>LEFT(Int_breweries[[#This Row],[MONTHS]], 3)</f>
        <v>May</v>
      </c>
    </row>
    <row r="91" spans="1:16" ht="12.5" x14ac:dyDescent="0.25">
      <c r="A91" s="1">
        <v>10190</v>
      </c>
      <c r="B91" s="1" t="s">
        <v>30</v>
      </c>
      <c r="C91" s="1" t="s">
        <v>31</v>
      </c>
      <c r="D91" t="s">
        <v>68</v>
      </c>
      <c r="E91" s="1">
        <v>80</v>
      </c>
      <c r="F91" s="1">
        <v>150</v>
      </c>
      <c r="G91" s="1">
        <v>869</v>
      </c>
      <c r="H91" s="1">
        <f>Int_breweries[[#This Row],[PLANT_COST]]*Int_breweries[[#This Row],[QUANTITY]]</f>
        <v>69520</v>
      </c>
      <c r="I91" s="1">
        <v>130350</v>
      </c>
      <c r="J91" s="1">
        <v>60830</v>
      </c>
      <c r="K91" s="1" t="s">
        <v>32</v>
      </c>
      <c r="L91" t="s">
        <v>60</v>
      </c>
      <c r="M91" s="1" t="s">
        <v>34</v>
      </c>
      <c r="N91" s="1">
        <v>2018</v>
      </c>
      <c r="O91" t="str" cm="1">
        <f t="array" ref="O91">_xlfn.IFS(OR($K91="Ghana", $K91="Nigeria"), "Anglophone", OR($K91="Togo", $K91="Benin", $K91="Senegal"), "Francophone")</f>
        <v>Francophone</v>
      </c>
      <c r="P91" s="1" t="str">
        <f>LEFT(Int_breweries[[#This Row],[MONTHS]], 3)</f>
        <v>Jun</v>
      </c>
    </row>
    <row r="92" spans="1:16" ht="12.5" x14ac:dyDescent="0.25">
      <c r="A92" s="1">
        <v>10191</v>
      </c>
      <c r="B92" s="1" t="s">
        <v>12</v>
      </c>
      <c r="C92" s="1" t="s">
        <v>13</v>
      </c>
      <c r="D92" t="s">
        <v>69</v>
      </c>
      <c r="E92" s="1">
        <v>90</v>
      </c>
      <c r="F92" s="1">
        <v>150</v>
      </c>
      <c r="G92" s="1">
        <v>902</v>
      </c>
      <c r="H92" s="1">
        <f>Int_breweries[[#This Row],[PLANT_COST]]*Int_breweries[[#This Row],[QUANTITY]]</f>
        <v>81180</v>
      </c>
      <c r="I92" s="1">
        <v>135300</v>
      </c>
      <c r="J92" s="1">
        <v>54120</v>
      </c>
      <c r="K92" s="1" t="s">
        <v>14</v>
      </c>
      <c r="L92" t="s">
        <v>61</v>
      </c>
      <c r="M92" s="1" t="s">
        <v>37</v>
      </c>
      <c r="N92" s="1">
        <v>2019</v>
      </c>
      <c r="O92" t="str" cm="1">
        <f t="array" ref="O92">_xlfn.IFS(OR($K92="Ghana", $K92="Nigeria"), "Anglophone", OR($K92="Togo", $K92="Benin", $K92="Senegal"), "Francophone")</f>
        <v>Anglophone</v>
      </c>
      <c r="P92" s="1" t="str">
        <f>LEFT(Int_breweries[[#This Row],[MONTHS]], 3)</f>
        <v>Jul</v>
      </c>
    </row>
    <row r="93" spans="1:16" ht="12.5" x14ac:dyDescent="0.25">
      <c r="A93" s="1">
        <v>10192</v>
      </c>
      <c r="B93" s="1" t="s">
        <v>12</v>
      </c>
      <c r="C93" s="1" t="s">
        <v>13</v>
      </c>
      <c r="D93" t="s">
        <v>63</v>
      </c>
      <c r="E93" s="1">
        <v>150</v>
      </c>
      <c r="F93" s="1">
        <v>200</v>
      </c>
      <c r="G93" s="1">
        <v>981</v>
      </c>
      <c r="H93" s="1">
        <f>Int_breweries[[#This Row],[PLANT_COST]]*Int_breweries[[#This Row],[QUANTITY]]</f>
        <v>147150</v>
      </c>
      <c r="I93" s="1">
        <v>196200</v>
      </c>
      <c r="J93" s="1">
        <v>49050</v>
      </c>
      <c r="K93" s="1" t="s">
        <v>19</v>
      </c>
      <c r="L93" t="s">
        <v>62</v>
      </c>
      <c r="M93" s="1" t="s">
        <v>38</v>
      </c>
      <c r="N93" s="1">
        <v>2019</v>
      </c>
      <c r="O93" t="str" cm="1">
        <f t="array" ref="O93">_xlfn.IFS(OR($K93="Ghana", $K93="Nigeria"), "Anglophone", OR($K93="Togo", $K93="Benin", $K93="Senegal"), "Francophone")</f>
        <v>Anglophone</v>
      </c>
      <c r="P93" s="1" t="str">
        <f>LEFT(Int_breweries[[#This Row],[MONTHS]], 3)</f>
        <v>Aug</v>
      </c>
    </row>
    <row r="94" spans="1:16" ht="12.5" x14ac:dyDescent="0.25">
      <c r="A94" s="1">
        <v>10193</v>
      </c>
      <c r="B94" s="1" t="s">
        <v>30</v>
      </c>
      <c r="C94" s="1" t="s">
        <v>31</v>
      </c>
      <c r="D94" t="s">
        <v>64</v>
      </c>
      <c r="E94" s="1">
        <v>250</v>
      </c>
      <c r="F94" s="1">
        <v>500</v>
      </c>
      <c r="G94" s="1">
        <v>722</v>
      </c>
      <c r="H94" s="1">
        <f>Int_breweries[[#This Row],[PLANT_COST]]*Int_breweries[[#This Row],[QUANTITY]]</f>
        <v>180500</v>
      </c>
      <c r="I94" s="1">
        <v>361000</v>
      </c>
      <c r="J94" s="1">
        <v>180500</v>
      </c>
      <c r="K94" s="1" t="s">
        <v>24</v>
      </c>
      <c r="L94" t="s">
        <v>15</v>
      </c>
      <c r="M94" s="1" t="s">
        <v>41</v>
      </c>
      <c r="N94" s="1">
        <v>2017</v>
      </c>
      <c r="O94" t="str" cm="1">
        <f t="array" ref="O94">_xlfn.IFS(OR($K94="Ghana", $K94="Nigeria"), "Anglophone", OR($K94="Togo", $K94="Benin", $K94="Senegal"), "Francophone")</f>
        <v>Francophone</v>
      </c>
      <c r="P94" s="1" t="str">
        <f>LEFT(Int_breweries[[#This Row],[MONTHS]], 3)</f>
        <v>Sep</v>
      </c>
    </row>
    <row r="95" spans="1:16" ht="12.5" x14ac:dyDescent="0.25">
      <c r="A95" s="1">
        <v>10194</v>
      </c>
      <c r="B95" s="1" t="s">
        <v>12</v>
      </c>
      <c r="C95" s="1" t="s">
        <v>13</v>
      </c>
      <c r="D95" t="s">
        <v>65</v>
      </c>
      <c r="E95" s="1">
        <v>180</v>
      </c>
      <c r="F95" s="1">
        <v>450</v>
      </c>
      <c r="G95" s="1">
        <v>849</v>
      </c>
      <c r="H95" s="1">
        <f>Int_breweries[[#This Row],[PLANT_COST]]*Int_breweries[[#This Row],[QUANTITY]]</f>
        <v>152820</v>
      </c>
      <c r="I95" s="1">
        <v>382050</v>
      </c>
      <c r="J95" s="1">
        <v>229230</v>
      </c>
      <c r="K95" s="1" t="s">
        <v>28</v>
      </c>
      <c r="L95" t="s">
        <v>58</v>
      </c>
      <c r="M95" s="1" t="s">
        <v>44</v>
      </c>
      <c r="N95" s="1">
        <v>2017</v>
      </c>
      <c r="O95" t="str" cm="1">
        <f t="array" ref="O95">_xlfn.IFS(OR($K95="Ghana", $K95="Nigeria"), "Anglophone", OR($K95="Togo", $K95="Benin", $K95="Senegal"), "Francophone")</f>
        <v>Francophone</v>
      </c>
      <c r="P95" s="1" t="str">
        <f>LEFT(Int_breweries[[#This Row],[MONTHS]], 3)</f>
        <v>Oct</v>
      </c>
    </row>
    <row r="96" spans="1:16" ht="12.5" x14ac:dyDescent="0.25">
      <c r="A96" s="1">
        <v>10195</v>
      </c>
      <c r="B96" s="1" t="s">
        <v>17</v>
      </c>
      <c r="C96" s="1" t="s">
        <v>18</v>
      </c>
      <c r="D96" t="s">
        <v>66</v>
      </c>
      <c r="E96" s="1">
        <v>170</v>
      </c>
      <c r="F96" s="1">
        <v>250</v>
      </c>
      <c r="G96" s="1">
        <v>910</v>
      </c>
      <c r="H96" s="1">
        <f>Int_breweries[[#This Row],[PLANT_COST]]*Int_breweries[[#This Row],[QUANTITY]]</f>
        <v>154700</v>
      </c>
      <c r="I96" s="1">
        <v>227500</v>
      </c>
      <c r="J96" s="1">
        <v>72800</v>
      </c>
      <c r="K96" s="1" t="s">
        <v>32</v>
      </c>
      <c r="L96" t="s">
        <v>59</v>
      </c>
      <c r="M96" s="1" t="s">
        <v>47</v>
      </c>
      <c r="N96" s="1">
        <v>2019</v>
      </c>
      <c r="O96" t="str" cm="1">
        <f t="array" ref="O96">_xlfn.IFS(OR($K96="Ghana", $K96="Nigeria"), "Anglophone", OR($K96="Togo", $K96="Benin", $K96="Senegal"), "Francophone")</f>
        <v>Francophone</v>
      </c>
      <c r="P96" s="1" t="str">
        <f>LEFT(Int_breweries[[#This Row],[MONTHS]], 3)</f>
        <v>Nov</v>
      </c>
    </row>
    <row r="97" spans="1:16" ht="12.5" x14ac:dyDescent="0.25">
      <c r="A97" s="1">
        <v>10196</v>
      </c>
      <c r="B97" s="1" t="s">
        <v>22</v>
      </c>
      <c r="C97" s="1" t="s">
        <v>23</v>
      </c>
      <c r="D97" t="s">
        <v>67</v>
      </c>
      <c r="E97" s="1">
        <v>150</v>
      </c>
      <c r="F97" s="1">
        <v>200</v>
      </c>
      <c r="G97" s="1">
        <v>959</v>
      </c>
      <c r="H97" s="1">
        <f>Int_breweries[[#This Row],[PLANT_COST]]*Int_breweries[[#This Row],[QUANTITY]]</f>
        <v>143850</v>
      </c>
      <c r="I97" s="1">
        <v>191800</v>
      </c>
      <c r="J97" s="1">
        <v>47950</v>
      </c>
      <c r="K97" s="1" t="s">
        <v>14</v>
      </c>
      <c r="L97" t="s">
        <v>60</v>
      </c>
      <c r="M97" s="1" t="s">
        <v>48</v>
      </c>
      <c r="N97" s="1">
        <v>2018</v>
      </c>
      <c r="O97" t="str" cm="1">
        <f t="array" ref="O97">_xlfn.IFS(OR($K97="Ghana", $K97="Nigeria"), "Anglophone", OR($K97="Togo", $K97="Benin", $K97="Senegal"), "Francophone")</f>
        <v>Anglophone</v>
      </c>
      <c r="P97" s="1" t="str">
        <f>LEFT(Int_breweries[[#This Row],[MONTHS]], 3)</f>
        <v>Dec</v>
      </c>
    </row>
    <row r="98" spans="1:16" ht="12.5" x14ac:dyDescent="0.25">
      <c r="A98" s="1">
        <v>10197</v>
      </c>
      <c r="B98" s="1" t="s">
        <v>26</v>
      </c>
      <c r="C98" s="1" t="s">
        <v>27</v>
      </c>
      <c r="D98" t="s">
        <v>68</v>
      </c>
      <c r="E98" s="1">
        <v>80</v>
      </c>
      <c r="F98" s="1">
        <v>150</v>
      </c>
      <c r="G98" s="1">
        <v>896</v>
      </c>
      <c r="H98" s="1">
        <f>Int_breweries[[#This Row],[PLANT_COST]]*Int_breweries[[#This Row],[QUANTITY]]</f>
        <v>71680</v>
      </c>
      <c r="I98" s="1">
        <v>134400</v>
      </c>
      <c r="J98" s="1">
        <v>62720</v>
      </c>
      <c r="K98" s="1" t="s">
        <v>19</v>
      </c>
      <c r="L98" t="s">
        <v>61</v>
      </c>
      <c r="M98" s="1" t="s">
        <v>16</v>
      </c>
      <c r="N98" s="1">
        <v>2019</v>
      </c>
      <c r="O98" t="str" cm="1">
        <f t="array" ref="O98">_xlfn.IFS(OR($K98="Ghana", $K98="Nigeria"), "Anglophone", OR($K98="Togo", $K98="Benin", $K98="Senegal"), "Francophone")</f>
        <v>Anglophone</v>
      </c>
      <c r="P98" s="1" t="str">
        <f>LEFT(Int_breweries[[#This Row],[MONTHS]], 3)</f>
        <v>Jan</v>
      </c>
    </row>
    <row r="99" spans="1:16" ht="12.5" x14ac:dyDescent="0.25">
      <c r="A99" s="1">
        <v>10198</v>
      </c>
      <c r="B99" s="1" t="s">
        <v>30</v>
      </c>
      <c r="C99" s="1" t="s">
        <v>31</v>
      </c>
      <c r="D99" t="s">
        <v>69</v>
      </c>
      <c r="E99" s="1">
        <v>90</v>
      </c>
      <c r="F99" s="1">
        <v>150</v>
      </c>
      <c r="G99" s="1">
        <v>856</v>
      </c>
      <c r="H99" s="1">
        <f>Int_breweries[[#This Row],[PLANT_COST]]*Int_breweries[[#This Row],[QUANTITY]]</f>
        <v>77040</v>
      </c>
      <c r="I99" s="1">
        <v>128400</v>
      </c>
      <c r="J99" s="1">
        <v>51360</v>
      </c>
      <c r="K99" s="1" t="s">
        <v>24</v>
      </c>
      <c r="L99" t="s">
        <v>62</v>
      </c>
      <c r="M99" s="1" t="s">
        <v>21</v>
      </c>
      <c r="N99" s="1">
        <v>2017</v>
      </c>
      <c r="O99" t="str" cm="1">
        <f t="array" ref="O99">_xlfn.IFS(OR($K99="Ghana", $K99="Nigeria"), "Anglophone", OR($K99="Togo", $K99="Benin", $K99="Senegal"), "Francophone")</f>
        <v>Francophone</v>
      </c>
      <c r="P99" s="1" t="str">
        <f>LEFT(Int_breweries[[#This Row],[MONTHS]], 3)</f>
        <v>Feb</v>
      </c>
    </row>
    <row r="100" spans="1:16" ht="12.5" x14ac:dyDescent="0.25">
      <c r="A100" s="1">
        <v>10199</v>
      </c>
      <c r="B100" s="1" t="s">
        <v>12</v>
      </c>
      <c r="C100" s="1" t="s">
        <v>13</v>
      </c>
      <c r="D100" t="s">
        <v>63</v>
      </c>
      <c r="E100" s="1">
        <v>150</v>
      </c>
      <c r="F100" s="1">
        <v>200</v>
      </c>
      <c r="G100" s="1">
        <v>817</v>
      </c>
      <c r="H100" s="1">
        <f>Int_breweries[[#This Row],[PLANT_COST]]*Int_breweries[[#This Row],[QUANTITY]]</f>
        <v>122550</v>
      </c>
      <c r="I100" s="1">
        <v>163400</v>
      </c>
      <c r="J100" s="1">
        <v>40850</v>
      </c>
      <c r="K100" s="1" t="s">
        <v>28</v>
      </c>
      <c r="L100" t="s">
        <v>15</v>
      </c>
      <c r="M100" s="1" t="s">
        <v>25</v>
      </c>
      <c r="N100" s="1">
        <v>2017</v>
      </c>
      <c r="O100" t="str" cm="1">
        <f t="array" ref="O100">_xlfn.IFS(OR($K100="Ghana", $K100="Nigeria"), "Anglophone", OR($K100="Togo", $K100="Benin", $K100="Senegal"), "Francophone")</f>
        <v>Francophone</v>
      </c>
      <c r="P100" s="1" t="str">
        <f>LEFT(Int_breweries[[#This Row],[MONTHS]], 3)</f>
        <v>Mar</v>
      </c>
    </row>
    <row r="101" spans="1:16" ht="12.5" x14ac:dyDescent="0.25">
      <c r="A101" s="1">
        <v>10200</v>
      </c>
      <c r="B101" s="1" t="s">
        <v>35</v>
      </c>
      <c r="C101" s="1" t="s">
        <v>36</v>
      </c>
      <c r="D101" t="s">
        <v>64</v>
      </c>
      <c r="E101" s="1">
        <v>250</v>
      </c>
      <c r="F101" s="1">
        <v>500</v>
      </c>
      <c r="G101" s="1">
        <v>729</v>
      </c>
      <c r="H101" s="1">
        <f>Int_breweries[[#This Row],[PLANT_COST]]*Int_breweries[[#This Row],[QUANTITY]]</f>
        <v>182250</v>
      </c>
      <c r="I101" s="1">
        <v>364500</v>
      </c>
      <c r="J101" s="1">
        <v>182250</v>
      </c>
      <c r="K101" s="1" t="s">
        <v>32</v>
      </c>
      <c r="L101" t="s">
        <v>58</v>
      </c>
      <c r="M101" s="1" t="s">
        <v>29</v>
      </c>
      <c r="N101" s="1">
        <v>2017</v>
      </c>
      <c r="O101" t="str" cm="1">
        <f t="array" ref="O101">_xlfn.IFS(OR($K101="Ghana", $K101="Nigeria"), "Anglophone", OR($K101="Togo", $K101="Benin", $K101="Senegal"), "Francophone")</f>
        <v>Francophone</v>
      </c>
      <c r="P101" s="1" t="str">
        <f>LEFT(Int_breweries[[#This Row],[MONTHS]], 3)</f>
        <v>Apr</v>
      </c>
    </row>
    <row r="102" spans="1:16" ht="12.5" x14ac:dyDescent="0.25">
      <c r="A102" s="1">
        <v>10201</v>
      </c>
      <c r="B102" s="1" t="s">
        <v>26</v>
      </c>
      <c r="C102" s="1" t="s">
        <v>27</v>
      </c>
      <c r="D102" t="s">
        <v>65</v>
      </c>
      <c r="E102" s="1">
        <v>180</v>
      </c>
      <c r="F102" s="1">
        <v>450</v>
      </c>
      <c r="G102" s="1">
        <v>805</v>
      </c>
      <c r="H102" s="1">
        <f>Int_breweries[[#This Row],[PLANT_COST]]*Int_breweries[[#This Row],[QUANTITY]]</f>
        <v>144900</v>
      </c>
      <c r="I102" s="1">
        <v>362250</v>
      </c>
      <c r="J102" s="1">
        <v>217350</v>
      </c>
      <c r="K102" s="1" t="s">
        <v>14</v>
      </c>
      <c r="L102" t="s">
        <v>59</v>
      </c>
      <c r="M102" s="1" t="s">
        <v>33</v>
      </c>
      <c r="N102" s="1">
        <v>2017</v>
      </c>
      <c r="O102" t="str" cm="1">
        <f t="array" ref="O102">_xlfn.IFS(OR($K102="Ghana", $K102="Nigeria"), "Anglophone", OR($K102="Togo", $K102="Benin", $K102="Senegal"), "Francophone")</f>
        <v>Anglophone</v>
      </c>
      <c r="P102" s="1" t="str">
        <f>LEFT(Int_breweries[[#This Row],[MONTHS]], 3)</f>
        <v>May</v>
      </c>
    </row>
    <row r="103" spans="1:16" ht="12.5" x14ac:dyDescent="0.25">
      <c r="A103" s="1">
        <v>10202</v>
      </c>
      <c r="B103" s="1" t="s">
        <v>39</v>
      </c>
      <c r="C103" s="1" t="s">
        <v>40</v>
      </c>
      <c r="D103" t="s">
        <v>66</v>
      </c>
      <c r="E103" s="1">
        <v>170</v>
      </c>
      <c r="F103" s="1">
        <v>250</v>
      </c>
      <c r="G103" s="1">
        <v>828</v>
      </c>
      <c r="H103" s="1">
        <f>Int_breweries[[#This Row],[PLANT_COST]]*Int_breweries[[#This Row],[QUANTITY]]</f>
        <v>140760</v>
      </c>
      <c r="I103" s="1">
        <v>207000</v>
      </c>
      <c r="J103" s="1">
        <v>66240</v>
      </c>
      <c r="K103" s="1" t="s">
        <v>19</v>
      </c>
      <c r="L103" t="s">
        <v>60</v>
      </c>
      <c r="M103" s="1" t="s">
        <v>34</v>
      </c>
      <c r="N103" s="1">
        <v>2019</v>
      </c>
      <c r="O103" t="str" cm="1">
        <f t="array" ref="O103">_xlfn.IFS(OR($K103="Ghana", $K103="Nigeria"), "Anglophone", OR($K103="Togo", $K103="Benin", $K103="Senegal"), "Francophone")</f>
        <v>Anglophone</v>
      </c>
      <c r="P103" s="1" t="str">
        <f>LEFT(Int_breweries[[#This Row],[MONTHS]], 3)</f>
        <v>Jun</v>
      </c>
    </row>
    <row r="104" spans="1:16" ht="12.5" x14ac:dyDescent="0.25">
      <c r="A104" s="1">
        <v>10203</v>
      </c>
      <c r="B104" s="1" t="s">
        <v>42</v>
      </c>
      <c r="C104" s="1" t="s">
        <v>43</v>
      </c>
      <c r="D104" t="s">
        <v>67</v>
      </c>
      <c r="E104" s="1">
        <v>150</v>
      </c>
      <c r="F104" s="1">
        <v>200</v>
      </c>
      <c r="G104" s="1">
        <v>990</v>
      </c>
      <c r="H104" s="1">
        <f>Int_breweries[[#This Row],[PLANT_COST]]*Int_breweries[[#This Row],[QUANTITY]]</f>
        <v>148500</v>
      </c>
      <c r="I104" s="1">
        <v>198000</v>
      </c>
      <c r="J104" s="1">
        <v>49500</v>
      </c>
      <c r="K104" s="1" t="s">
        <v>24</v>
      </c>
      <c r="L104" t="s">
        <v>61</v>
      </c>
      <c r="M104" s="1" t="s">
        <v>37</v>
      </c>
      <c r="N104" s="1">
        <v>2019</v>
      </c>
      <c r="O104" t="str" cm="1">
        <f t="array" ref="O104">_xlfn.IFS(OR($K104="Ghana", $K104="Nigeria"), "Anglophone", OR($K104="Togo", $K104="Benin", $K104="Senegal"), "Francophone")</f>
        <v>Francophone</v>
      </c>
      <c r="P104" s="1" t="str">
        <f>LEFT(Int_breweries[[#This Row],[MONTHS]], 3)</f>
        <v>Jul</v>
      </c>
    </row>
    <row r="105" spans="1:16" ht="12.5" x14ac:dyDescent="0.25">
      <c r="A105" s="1">
        <v>10204</v>
      </c>
      <c r="B105" s="1" t="s">
        <v>45</v>
      </c>
      <c r="C105" s="1" t="s">
        <v>46</v>
      </c>
      <c r="D105" t="s">
        <v>68</v>
      </c>
      <c r="E105" s="1">
        <v>80</v>
      </c>
      <c r="F105" s="1">
        <v>150</v>
      </c>
      <c r="G105" s="1">
        <v>831</v>
      </c>
      <c r="H105" s="1">
        <f>Int_breweries[[#This Row],[PLANT_COST]]*Int_breweries[[#This Row],[QUANTITY]]</f>
        <v>66480</v>
      </c>
      <c r="I105" s="1">
        <v>124650</v>
      </c>
      <c r="J105" s="1">
        <v>58170</v>
      </c>
      <c r="K105" s="1" t="s">
        <v>28</v>
      </c>
      <c r="L105" t="s">
        <v>62</v>
      </c>
      <c r="M105" s="1" t="s">
        <v>38</v>
      </c>
      <c r="N105" s="1">
        <v>2017</v>
      </c>
      <c r="O105" t="str" cm="1">
        <f t="array" ref="O105">_xlfn.IFS(OR($K105="Ghana", $K105="Nigeria"), "Anglophone", OR($K105="Togo", $K105="Benin", $K105="Senegal"), "Francophone")</f>
        <v>Francophone</v>
      </c>
      <c r="P105" s="1" t="str">
        <f>LEFT(Int_breweries[[#This Row],[MONTHS]], 3)</f>
        <v>Aug</v>
      </c>
    </row>
    <row r="106" spans="1:16" ht="12.5" x14ac:dyDescent="0.25">
      <c r="A106" s="1">
        <v>10205</v>
      </c>
      <c r="B106" s="1" t="s">
        <v>26</v>
      </c>
      <c r="C106" s="1" t="s">
        <v>27</v>
      </c>
      <c r="D106" t="s">
        <v>69</v>
      </c>
      <c r="E106" s="1">
        <v>90</v>
      </c>
      <c r="F106" s="1">
        <v>150</v>
      </c>
      <c r="G106" s="1">
        <v>903</v>
      </c>
      <c r="H106" s="1">
        <f>Int_breweries[[#This Row],[PLANT_COST]]*Int_breweries[[#This Row],[QUANTITY]]</f>
        <v>81270</v>
      </c>
      <c r="I106" s="1">
        <v>135450</v>
      </c>
      <c r="J106" s="1">
        <v>54180</v>
      </c>
      <c r="K106" s="1" t="s">
        <v>32</v>
      </c>
      <c r="L106" t="s">
        <v>15</v>
      </c>
      <c r="M106" s="1" t="s">
        <v>41</v>
      </c>
      <c r="N106" s="1">
        <v>2019</v>
      </c>
      <c r="O106" t="str" cm="1">
        <f t="array" ref="O106">_xlfn.IFS(OR($K106="Ghana", $K106="Nigeria"), "Anglophone", OR($K106="Togo", $K106="Benin", $K106="Senegal"), "Francophone")</f>
        <v>Francophone</v>
      </c>
      <c r="P106" s="1" t="str">
        <f>LEFT(Int_breweries[[#This Row],[MONTHS]], 3)</f>
        <v>Sep</v>
      </c>
    </row>
    <row r="107" spans="1:16" ht="12.5" x14ac:dyDescent="0.25">
      <c r="A107" s="1">
        <v>10206</v>
      </c>
      <c r="B107" s="1" t="s">
        <v>49</v>
      </c>
      <c r="C107" s="1" t="s">
        <v>50</v>
      </c>
      <c r="D107" t="s">
        <v>63</v>
      </c>
      <c r="E107" s="1">
        <v>150</v>
      </c>
      <c r="F107" s="1">
        <v>200</v>
      </c>
      <c r="G107" s="1">
        <v>751</v>
      </c>
      <c r="H107" s="1">
        <f>Int_breweries[[#This Row],[PLANT_COST]]*Int_breweries[[#This Row],[QUANTITY]]</f>
        <v>112650</v>
      </c>
      <c r="I107" s="1">
        <v>150200</v>
      </c>
      <c r="J107" s="1">
        <v>37550</v>
      </c>
      <c r="K107" s="1" t="s">
        <v>14</v>
      </c>
      <c r="L107" t="s">
        <v>58</v>
      </c>
      <c r="M107" s="1" t="s">
        <v>44</v>
      </c>
      <c r="N107" s="1">
        <v>2017</v>
      </c>
      <c r="O107" t="str" cm="1">
        <f t="array" ref="O107">_xlfn.IFS(OR($K107="Ghana", $K107="Nigeria"), "Anglophone", OR($K107="Togo", $K107="Benin", $K107="Senegal"), "Francophone")</f>
        <v>Anglophone</v>
      </c>
      <c r="P107" s="1" t="str">
        <f>LEFT(Int_breweries[[#This Row],[MONTHS]], 3)</f>
        <v>Oct</v>
      </c>
    </row>
    <row r="108" spans="1:16" ht="12.5" x14ac:dyDescent="0.25">
      <c r="A108" s="1">
        <v>10207</v>
      </c>
      <c r="B108" s="1" t="s">
        <v>26</v>
      </c>
      <c r="C108" s="1" t="s">
        <v>27</v>
      </c>
      <c r="D108" t="s">
        <v>64</v>
      </c>
      <c r="E108" s="1">
        <v>250</v>
      </c>
      <c r="F108" s="1">
        <v>500</v>
      </c>
      <c r="G108" s="1">
        <v>990</v>
      </c>
      <c r="H108" s="1">
        <f>Int_breweries[[#This Row],[PLANT_COST]]*Int_breweries[[#This Row],[QUANTITY]]</f>
        <v>247500</v>
      </c>
      <c r="I108" s="1">
        <v>495000</v>
      </c>
      <c r="J108" s="1">
        <v>247500</v>
      </c>
      <c r="K108" s="1" t="s">
        <v>19</v>
      </c>
      <c r="L108" t="s">
        <v>59</v>
      </c>
      <c r="M108" s="1" t="s">
        <v>47</v>
      </c>
      <c r="N108" s="1">
        <v>2019</v>
      </c>
      <c r="O108" t="str" cm="1">
        <f t="array" ref="O108">_xlfn.IFS(OR($K108="Ghana", $K108="Nigeria"), "Anglophone", OR($K108="Togo", $K108="Benin", $K108="Senegal"), "Francophone")</f>
        <v>Anglophone</v>
      </c>
      <c r="P108" s="1" t="str">
        <f>LEFT(Int_breweries[[#This Row],[MONTHS]], 3)</f>
        <v>Nov</v>
      </c>
    </row>
    <row r="109" spans="1:16" ht="12.5" x14ac:dyDescent="0.25">
      <c r="A109" s="1">
        <v>10208</v>
      </c>
      <c r="B109" s="1" t="s">
        <v>12</v>
      </c>
      <c r="C109" s="1" t="s">
        <v>13</v>
      </c>
      <c r="D109" t="s">
        <v>65</v>
      </c>
      <c r="E109" s="1">
        <v>180</v>
      </c>
      <c r="F109" s="1">
        <v>450</v>
      </c>
      <c r="G109" s="1">
        <v>878</v>
      </c>
      <c r="H109" s="1">
        <f>Int_breweries[[#This Row],[PLANT_COST]]*Int_breweries[[#This Row],[QUANTITY]]</f>
        <v>158040</v>
      </c>
      <c r="I109" s="1">
        <v>395100</v>
      </c>
      <c r="J109" s="1">
        <v>237060</v>
      </c>
      <c r="K109" s="1" t="s">
        <v>24</v>
      </c>
      <c r="L109" t="s">
        <v>60</v>
      </c>
      <c r="M109" s="1" t="s">
        <v>48</v>
      </c>
      <c r="N109" s="1">
        <v>2018</v>
      </c>
      <c r="O109" t="str" cm="1">
        <f t="array" ref="O109">_xlfn.IFS(OR($K109="Ghana", $K109="Nigeria"), "Anglophone", OR($K109="Togo", $K109="Benin", $K109="Senegal"), "Francophone")</f>
        <v>Francophone</v>
      </c>
      <c r="P109" s="1" t="str">
        <f>LEFT(Int_breweries[[#This Row],[MONTHS]], 3)</f>
        <v>Dec</v>
      </c>
    </row>
    <row r="110" spans="1:16" ht="12.5" x14ac:dyDescent="0.25">
      <c r="A110" s="1">
        <v>10209</v>
      </c>
      <c r="B110" s="1" t="s">
        <v>17</v>
      </c>
      <c r="C110" s="1" t="s">
        <v>18</v>
      </c>
      <c r="D110" t="s">
        <v>66</v>
      </c>
      <c r="E110" s="1">
        <v>170</v>
      </c>
      <c r="F110" s="1">
        <v>250</v>
      </c>
      <c r="G110" s="1">
        <v>720</v>
      </c>
      <c r="H110" s="1">
        <f>Int_breweries[[#This Row],[PLANT_COST]]*Int_breweries[[#This Row],[QUANTITY]]</f>
        <v>122400</v>
      </c>
      <c r="I110" s="1">
        <v>180000</v>
      </c>
      <c r="J110" s="1">
        <v>57600</v>
      </c>
      <c r="K110" s="1" t="s">
        <v>28</v>
      </c>
      <c r="L110" t="s">
        <v>61</v>
      </c>
      <c r="M110" s="1" t="s">
        <v>16</v>
      </c>
      <c r="N110" s="1">
        <v>2017</v>
      </c>
      <c r="O110" t="str" cm="1">
        <f t="array" ref="O110">_xlfn.IFS(OR($K110="Ghana", $K110="Nigeria"), "Anglophone", OR($K110="Togo", $K110="Benin", $K110="Senegal"), "Francophone")</f>
        <v>Francophone</v>
      </c>
      <c r="P110" s="1" t="str">
        <f>LEFT(Int_breweries[[#This Row],[MONTHS]], 3)</f>
        <v>Jan</v>
      </c>
    </row>
    <row r="111" spans="1:16" ht="12.5" x14ac:dyDescent="0.25">
      <c r="A111" s="1">
        <v>10210</v>
      </c>
      <c r="B111" s="1" t="s">
        <v>22</v>
      </c>
      <c r="C111" s="1" t="s">
        <v>23</v>
      </c>
      <c r="D111" t="s">
        <v>67</v>
      </c>
      <c r="E111" s="1">
        <v>150</v>
      </c>
      <c r="F111" s="1">
        <v>200</v>
      </c>
      <c r="G111" s="1">
        <v>777</v>
      </c>
      <c r="H111" s="1">
        <f>Int_breweries[[#This Row],[PLANT_COST]]*Int_breweries[[#This Row],[QUANTITY]]</f>
        <v>116550</v>
      </c>
      <c r="I111" s="1">
        <v>155400</v>
      </c>
      <c r="J111" s="1">
        <v>38850</v>
      </c>
      <c r="K111" s="1" t="s">
        <v>32</v>
      </c>
      <c r="L111" t="s">
        <v>62</v>
      </c>
      <c r="M111" s="1" t="s">
        <v>21</v>
      </c>
      <c r="N111" s="1">
        <v>2017</v>
      </c>
      <c r="O111" t="str" cm="1">
        <f t="array" ref="O111">_xlfn.IFS(OR($K111="Ghana", $K111="Nigeria"), "Anglophone", OR($K111="Togo", $K111="Benin", $K111="Senegal"), "Francophone")</f>
        <v>Francophone</v>
      </c>
      <c r="P111" s="1" t="str">
        <f>LEFT(Int_breweries[[#This Row],[MONTHS]], 3)</f>
        <v>Feb</v>
      </c>
    </row>
    <row r="112" spans="1:16" ht="12.5" x14ac:dyDescent="0.25">
      <c r="A112" s="1">
        <v>10211</v>
      </c>
      <c r="B112" s="1" t="s">
        <v>26</v>
      </c>
      <c r="C112" s="1" t="s">
        <v>27</v>
      </c>
      <c r="D112" t="s">
        <v>68</v>
      </c>
      <c r="E112" s="1">
        <v>80</v>
      </c>
      <c r="F112" s="1">
        <v>150</v>
      </c>
      <c r="G112" s="1">
        <v>848</v>
      </c>
      <c r="H112" s="1">
        <f>Int_breweries[[#This Row],[PLANT_COST]]*Int_breweries[[#This Row],[QUANTITY]]</f>
        <v>67840</v>
      </c>
      <c r="I112" s="1">
        <v>127200</v>
      </c>
      <c r="J112" s="1">
        <v>59360</v>
      </c>
      <c r="K112" s="1" t="s">
        <v>14</v>
      </c>
      <c r="L112" t="s">
        <v>15</v>
      </c>
      <c r="M112" s="1" t="s">
        <v>25</v>
      </c>
      <c r="N112" s="1">
        <v>2019</v>
      </c>
      <c r="O112" t="str" cm="1">
        <f t="array" ref="O112">_xlfn.IFS(OR($K112="Ghana", $K112="Nigeria"), "Anglophone", OR($K112="Togo", $K112="Benin", $K112="Senegal"), "Francophone")</f>
        <v>Anglophone</v>
      </c>
      <c r="P112" s="1" t="str">
        <f>LEFT(Int_breweries[[#This Row],[MONTHS]], 3)</f>
        <v>Mar</v>
      </c>
    </row>
    <row r="113" spans="1:16" ht="12.5" x14ac:dyDescent="0.25">
      <c r="A113" s="1">
        <v>10212</v>
      </c>
      <c r="B113" s="1" t="s">
        <v>30</v>
      </c>
      <c r="C113" s="1" t="s">
        <v>31</v>
      </c>
      <c r="D113" t="s">
        <v>69</v>
      </c>
      <c r="E113" s="1">
        <v>90</v>
      </c>
      <c r="F113" s="1">
        <v>150</v>
      </c>
      <c r="G113" s="1">
        <v>874</v>
      </c>
      <c r="H113" s="1">
        <f>Int_breweries[[#This Row],[PLANT_COST]]*Int_breweries[[#This Row],[QUANTITY]]</f>
        <v>78660</v>
      </c>
      <c r="I113" s="1">
        <v>131100</v>
      </c>
      <c r="J113" s="1">
        <v>52440</v>
      </c>
      <c r="K113" s="1" t="s">
        <v>19</v>
      </c>
      <c r="L113" t="s">
        <v>58</v>
      </c>
      <c r="M113" s="1" t="s">
        <v>29</v>
      </c>
      <c r="N113" s="1">
        <v>2017</v>
      </c>
      <c r="O113" t="str" cm="1">
        <f t="array" ref="O113">_xlfn.IFS(OR($K113="Ghana", $K113="Nigeria"), "Anglophone", OR($K113="Togo", $K113="Benin", $K113="Senegal"), "Francophone")</f>
        <v>Anglophone</v>
      </c>
      <c r="P113" s="1" t="str">
        <f>LEFT(Int_breweries[[#This Row],[MONTHS]], 3)</f>
        <v>Apr</v>
      </c>
    </row>
    <row r="114" spans="1:16" ht="12.5" x14ac:dyDescent="0.25">
      <c r="A114" s="1">
        <v>10213</v>
      </c>
      <c r="B114" s="1" t="s">
        <v>12</v>
      </c>
      <c r="C114" s="1" t="s">
        <v>13</v>
      </c>
      <c r="D114" t="s">
        <v>63</v>
      </c>
      <c r="E114" s="1">
        <v>150</v>
      </c>
      <c r="F114" s="1">
        <v>200</v>
      </c>
      <c r="G114" s="1">
        <v>739</v>
      </c>
      <c r="H114" s="1">
        <f>Int_breweries[[#This Row],[PLANT_COST]]*Int_breweries[[#This Row],[QUANTITY]]</f>
        <v>110850</v>
      </c>
      <c r="I114" s="1">
        <v>147800</v>
      </c>
      <c r="J114" s="1">
        <v>36950</v>
      </c>
      <c r="K114" s="1" t="s">
        <v>24</v>
      </c>
      <c r="L114" t="s">
        <v>59</v>
      </c>
      <c r="M114" s="1" t="s">
        <v>33</v>
      </c>
      <c r="N114" s="1">
        <v>2017</v>
      </c>
      <c r="O114" t="str" cm="1">
        <f t="array" ref="O114">_xlfn.IFS(OR($K114="Ghana", $K114="Nigeria"), "Anglophone", OR($K114="Togo", $K114="Benin", $K114="Senegal"), "Francophone")</f>
        <v>Francophone</v>
      </c>
      <c r="P114" s="1" t="str">
        <f>LEFT(Int_breweries[[#This Row],[MONTHS]], 3)</f>
        <v>May</v>
      </c>
    </row>
    <row r="115" spans="1:16" ht="12.5" x14ac:dyDescent="0.25">
      <c r="A115" s="1">
        <v>10214</v>
      </c>
      <c r="B115" s="1" t="s">
        <v>35</v>
      </c>
      <c r="C115" s="1" t="s">
        <v>36</v>
      </c>
      <c r="D115" t="s">
        <v>64</v>
      </c>
      <c r="E115" s="1">
        <v>250</v>
      </c>
      <c r="F115" s="1">
        <v>500</v>
      </c>
      <c r="G115" s="1">
        <v>704</v>
      </c>
      <c r="H115" s="1">
        <f>Int_breweries[[#This Row],[PLANT_COST]]*Int_breweries[[#This Row],[QUANTITY]]</f>
        <v>176000</v>
      </c>
      <c r="I115" s="1">
        <v>352000</v>
      </c>
      <c r="J115" s="1">
        <v>176000</v>
      </c>
      <c r="K115" s="1" t="s">
        <v>28</v>
      </c>
      <c r="L115" t="s">
        <v>60</v>
      </c>
      <c r="M115" s="1" t="s">
        <v>34</v>
      </c>
      <c r="N115" s="1">
        <v>2018</v>
      </c>
      <c r="O115" t="str" cm="1">
        <f t="array" ref="O115">_xlfn.IFS(OR($K115="Ghana", $K115="Nigeria"), "Anglophone", OR($K115="Togo", $K115="Benin", $K115="Senegal"), "Francophone")</f>
        <v>Francophone</v>
      </c>
      <c r="P115" s="1" t="str">
        <f>LEFT(Int_breweries[[#This Row],[MONTHS]], 3)</f>
        <v>Jun</v>
      </c>
    </row>
    <row r="116" spans="1:16" ht="12.5" x14ac:dyDescent="0.25">
      <c r="A116" s="1">
        <v>10215</v>
      </c>
      <c r="B116" s="1" t="s">
        <v>26</v>
      </c>
      <c r="C116" s="1" t="s">
        <v>27</v>
      </c>
      <c r="D116" t="s">
        <v>65</v>
      </c>
      <c r="E116" s="1">
        <v>180</v>
      </c>
      <c r="F116" s="1">
        <v>450</v>
      </c>
      <c r="G116" s="1">
        <v>855</v>
      </c>
      <c r="H116" s="1">
        <f>Int_breweries[[#This Row],[PLANT_COST]]*Int_breweries[[#This Row],[QUANTITY]]</f>
        <v>153900</v>
      </c>
      <c r="I116" s="1">
        <v>384750</v>
      </c>
      <c r="J116" s="1">
        <v>230850</v>
      </c>
      <c r="K116" s="1" t="s">
        <v>32</v>
      </c>
      <c r="L116" t="s">
        <v>61</v>
      </c>
      <c r="M116" s="1" t="s">
        <v>37</v>
      </c>
      <c r="N116" s="1">
        <v>2019</v>
      </c>
      <c r="O116" t="str" cm="1">
        <f t="array" ref="O116">_xlfn.IFS(OR($K116="Ghana", $K116="Nigeria"), "Anglophone", OR($K116="Togo", $K116="Benin", $K116="Senegal"), "Francophone")</f>
        <v>Francophone</v>
      </c>
      <c r="P116" s="1" t="str">
        <f>LEFT(Int_breweries[[#This Row],[MONTHS]], 3)</f>
        <v>Jul</v>
      </c>
    </row>
    <row r="117" spans="1:16" ht="12.5" x14ac:dyDescent="0.25">
      <c r="A117" s="1">
        <v>10216</v>
      </c>
      <c r="B117" s="1" t="s">
        <v>39</v>
      </c>
      <c r="C117" s="1" t="s">
        <v>40</v>
      </c>
      <c r="D117" t="s">
        <v>66</v>
      </c>
      <c r="E117" s="1">
        <v>170</v>
      </c>
      <c r="F117" s="1">
        <v>250</v>
      </c>
      <c r="G117" s="1">
        <v>971</v>
      </c>
      <c r="H117" s="1">
        <f>Int_breweries[[#This Row],[PLANT_COST]]*Int_breweries[[#This Row],[QUANTITY]]</f>
        <v>165070</v>
      </c>
      <c r="I117" s="1">
        <v>242750</v>
      </c>
      <c r="J117" s="1">
        <v>77680</v>
      </c>
      <c r="K117" s="1" t="s">
        <v>14</v>
      </c>
      <c r="L117" t="s">
        <v>62</v>
      </c>
      <c r="M117" s="1" t="s">
        <v>38</v>
      </c>
      <c r="N117" s="1">
        <v>2018</v>
      </c>
      <c r="O117" t="str" cm="1">
        <f t="array" ref="O117">_xlfn.IFS(OR($K117="Ghana", $K117="Nigeria"), "Anglophone", OR($K117="Togo", $K117="Benin", $K117="Senegal"), "Francophone")</f>
        <v>Anglophone</v>
      </c>
      <c r="P117" s="1" t="str">
        <f>LEFT(Int_breweries[[#This Row],[MONTHS]], 3)</f>
        <v>Aug</v>
      </c>
    </row>
    <row r="118" spans="1:16" ht="12.5" x14ac:dyDescent="0.25">
      <c r="A118" s="1">
        <v>10217</v>
      </c>
      <c r="B118" s="1" t="s">
        <v>42</v>
      </c>
      <c r="C118" s="1" t="s">
        <v>43</v>
      </c>
      <c r="D118" t="s">
        <v>67</v>
      </c>
      <c r="E118" s="1">
        <v>150</v>
      </c>
      <c r="F118" s="1">
        <v>200</v>
      </c>
      <c r="G118" s="1">
        <v>957</v>
      </c>
      <c r="H118" s="1">
        <f>Int_breweries[[#This Row],[PLANT_COST]]*Int_breweries[[#This Row],[QUANTITY]]</f>
        <v>143550</v>
      </c>
      <c r="I118" s="1">
        <v>191400</v>
      </c>
      <c r="J118" s="1">
        <v>47850</v>
      </c>
      <c r="K118" s="1" t="s">
        <v>19</v>
      </c>
      <c r="L118" t="s">
        <v>15</v>
      </c>
      <c r="M118" s="1" t="s">
        <v>41</v>
      </c>
      <c r="N118" s="1">
        <v>2019</v>
      </c>
      <c r="O118" t="str" cm="1">
        <f t="array" ref="O118">_xlfn.IFS(OR($K118="Ghana", $K118="Nigeria"), "Anglophone", OR($K118="Togo", $K118="Benin", $K118="Senegal"), "Francophone")</f>
        <v>Anglophone</v>
      </c>
      <c r="P118" s="1" t="str">
        <f>LEFT(Int_breweries[[#This Row],[MONTHS]], 3)</f>
        <v>Sep</v>
      </c>
    </row>
    <row r="119" spans="1:16" ht="12.5" x14ac:dyDescent="0.25">
      <c r="A119" s="1">
        <v>10218</v>
      </c>
      <c r="B119" s="1" t="s">
        <v>45</v>
      </c>
      <c r="C119" s="1" t="s">
        <v>46</v>
      </c>
      <c r="D119" t="s">
        <v>68</v>
      </c>
      <c r="E119" s="1">
        <v>80</v>
      </c>
      <c r="F119" s="1">
        <v>150</v>
      </c>
      <c r="G119" s="1">
        <v>769</v>
      </c>
      <c r="H119" s="1">
        <f>Int_breweries[[#This Row],[PLANT_COST]]*Int_breweries[[#This Row],[QUANTITY]]</f>
        <v>61520</v>
      </c>
      <c r="I119" s="1">
        <v>115350</v>
      </c>
      <c r="J119" s="1">
        <v>53830</v>
      </c>
      <c r="K119" s="1" t="s">
        <v>24</v>
      </c>
      <c r="L119" t="s">
        <v>58</v>
      </c>
      <c r="M119" s="1" t="s">
        <v>44</v>
      </c>
      <c r="N119" s="1">
        <v>2017</v>
      </c>
      <c r="O119" t="str" cm="1">
        <f t="array" ref="O119">_xlfn.IFS(OR($K119="Ghana", $K119="Nigeria"), "Anglophone", OR($K119="Togo", $K119="Benin", $K119="Senegal"), "Francophone")</f>
        <v>Francophone</v>
      </c>
      <c r="P119" s="1" t="str">
        <f>LEFT(Int_breweries[[#This Row],[MONTHS]], 3)</f>
        <v>Oct</v>
      </c>
    </row>
    <row r="120" spans="1:16" ht="12.5" x14ac:dyDescent="0.25">
      <c r="A120" s="1">
        <v>10219</v>
      </c>
      <c r="B120" s="1" t="s">
        <v>26</v>
      </c>
      <c r="C120" s="1" t="s">
        <v>27</v>
      </c>
      <c r="D120" t="s">
        <v>69</v>
      </c>
      <c r="E120" s="1">
        <v>90</v>
      </c>
      <c r="F120" s="1">
        <v>150</v>
      </c>
      <c r="G120" s="1">
        <v>710</v>
      </c>
      <c r="H120" s="1">
        <f>Int_breweries[[#This Row],[PLANT_COST]]*Int_breweries[[#This Row],[QUANTITY]]</f>
        <v>63900</v>
      </c>
      <c r="I120" s="1">
        <v>106500</v>
      </c>
      <c r="J120" s="1">
        <v>42600</v>
      </c>
      <c r="K120" s="1" t="s">
        <v>28</v>
      </c>
      <c r="L120" t="s">
        <v>59</v>
      </c>
      <c r="M120" s="1" t="s">
        <v>47</v>
      </c>
      <c r="N120" s="1">
        <v>2019</v>
      </c>
      <c r="O120" t="str" cm="1">
        <f t="array" ref="O120">_xlfn.IFS(OR($K120="Ghana", $K120="Nigeria"), "Anglophone", OR($K120="Togo", $K120="Benin", $K120="Senegal"), "Francophone")</f>
        <v>Francophone</v>
      </c>
      <c r="P120" s="1" t="str">
        <f>LEFT(Int_breweries[[#This Row],[MONTHS]], 3)</f>
        <v>Nov</v>
      </c>
    </row>
    <row r="121" spans="1:16" ht="12.5" x14ac:dyDescent="0.25">
      <c r="A121" s="1">
        <v>10220</v>
      </c>
      <c r="B121" s="1" t="s">
        <v>49</v>
      </c>
      <c r="C121" s="1" t="s">
        <v>50</v>
      </c>
      <c r="D121" t="s">
        <v>63</v>
      </c>
      <c r="E121" s="1">
        <v>150</v>
      </c>
      <c r="F121" s="1">
        <v>200</v>
      </c>
      <c r="G121" s="1">
        <v>917</v>
      </c>
      <c r="H121" s="1">
        <f>Int_breweries[[#This Row],[PLANT_COST]]*Int_breweries[[#This Row],[QUANTITY]]</f>
        <v>137550</v>
      </c>
      <c r="I121" s="1">
        <v>183400</v>
      </c>
      <c r="J121" s="1">
        <v>45850</v>
      </c>
      <c r="K121" s="1" t="s">
        <v>32</v>
      </c>
      <c r="L121" t="s">
        <v>60</v>
      </c>
      <c r="M121" s="1" t="s">
        <v>48</v>
      </c>
      <c r="N121" s="1">
        <v>2019</v>
      </c>
      <c r="O121" t="str" cm="1">
        <f t="array" ref="O121">_xlfn.IFS(OR($K121="Ghana", $K121="Nigeria"), "Anglophone", OR($K121="Togo", $K121="Benin", $K121="Senegal"), "Francophone")</f>
        <v>Francophone</v>
      </c>
      <c r="P121" s="1" t="str">
        <f>LEFT(Int_breweries[[#This Row],[MONTHS]], 3)</f>
        <v>Dec</v>
      </c>
    </row>
    <row r="122" spans="1:16" ht="12.5" x14ac:dyDescent="0.25">
      <c r="A122" s="1">
        <v>10221</v>
      </c>
      <c r="B122" s="1" t="s">
        <v>26</v>
      </c>
      <c r="C122" s="1" t="s">
        <v>27</v>
      </c>
      <c r="D122" t="s">
        <v>64</v>
      </c>
      <c r="E122" s="1">
        <v>250</v>
      </c>
      <c r="F122" s="1">
        <v>500</v>
      </c>
      <c r="G122" s="1">
        <v>727</v>
      </c>
      <c r="H122" s="1">
        <f>Int_breweries[[#This Row],[PLANT_COST]]*Int_breweries[[#This Row],[QUANTITY]]</f>
        <v>181750</v>
      </c>
      <c r="I122" s="1">
        <v>363500</v>
      </c>
      <c r="J122" s="1">
        <v>181750</v>
      </c>
      <c r="K122" s="1" t="s">
        <v>14</v>
      </c>
      <c r="L122" t="s">
        <v>61</v>
      </c>
      <c r="M122" s="1" t="s">
        <v>16</v>
      </c>
      <c r="N122" s="1">
        <v>2017</v>
      </c>
      <c r="O122" t="str" cm="1">
        <f t="array" ref="O122">_xlfn.IFS(OR($K122="Ghana", $K122="Nigeria"), "Anglophone", OR($K122="Togo", $K122="Benin", $K122="Senegal"), "Francophone")</f>
        <v>Anglophone</v>
      </c>
      <c r="P122" s="1" t="str">
        <f>LEFT(Int_breweries[[#This Row],[MONTHS]], 3)</f>
        <v>Jan</v>
      </c>
    </row>
    <row r="123" spans="1:16" ht="12.5" x14ac:dyDescent="0.25">
      <c r="A123" s="1">
        <v>10222</v>
      </c>
      <c r="B123" s="1" t="s">
        <v>39</v>
      </c>
      <c r="C123" s="1" t="s">
        <v>40</v>
      </c>
      <c r="D123" t="s">
        <v>65</v>
      </c>
      <c r="E123" s="1">
        <v>180</v>
      </c>
      <c r="F123" s="1">
        <v>450</v>
      </c>
      <c r="G123" s="1">
        <v>768</v>
      </c>
      <c r="H123" s="1">
        <f>Int_breweries[[#This Row],[PLANT_COST]]*Int_breweries[[#This Row],[QUANTITY]]</f>
        <v>138240</v>
      </c>
      <c r="I123" s="1">
        <v>345600</v>
      </c>
      <c r="J123" s="1">
        <v>207360</v>
      </c>
      <c r="K123" s="1" t="s">
        <v>19</v>
      </c>
      <c r="L123" t="s">
        <v>62</v>
      </c>
      <c r="M123" s="1" t="s">
        <v>21</v>
      </c>
      <c r="N123" s="1">
        <v>2018</v>
      </c>
      <c r="O123" t="str" cm="1">
        <f t="array" ref="O123">_xlfn.IFS(OR($K123="Ghana", $K123="Nigeria"), "Anglophone", OR($K123="Togo", $K123="Benin", $K123="Senegal"), "Francophone")</f>
        <v>Anglophone</v>
      </c>
      <c r="P123" s="1" t="str">
        <f>LEFT(Int_breweries[[#This Row],[MONTHS]], 3)</f>
        <v>Feb</v>
      </c>
    </row>
    <row r="124" spans="1:16" ht="12.5" x14ac:dyDescent="0.25">
      <c r="A124" s="1">
        <v>10223</v>
      </c>
      <c r="B124" s="1" t="s">
        <v>26</v>
      </c>
      <c r="C124" s="1" t="s">
        <v>27</v>
      </c>
      <c r="D124" t="s">
        <v>66</v>
      </c>
      <c r="E124" s="1">
        <v>170</v>
      </c>
      <c r="F124" s="1">
        <v>250</v>
      </c>
      <c r="G124" s="1">
        <v>870</v>
      </c>
      <c r="H124" s="1">
        <f>Int_breweries[[#This Row],[PLANT_COST]]*Int_breweries[[#This Row],[QUANTITY]]</f>
        <v>147900</v>
      </c>
      <c r="I124" s="1">
        <v>217500</v>
      </c>
      <c r="J124" s="1">
        <v>69600</v>
      </c>
      <c r="K124" s="1" t="s">
        <v>24</v>
      </c>
      <c r="L124" t="s">
        <v>15</v>
      </c>
      <c r="M124" s="1" t="s">
        <v>25</v>
      </c>
      <c r="N124" s="1">
        <v>2019</v>
      </c>
      <c r="O124" t="str" cm="1">
        <f t="array" ref="O124">_xlfn.IFS(OR($K124="Ghana", $K124="Nigeria"), "Anglophone", OR($K124="Togo", $K124="Benin", $K124="Senegal"), "Francophone")</f>
        <v>Francophone</v>
      </c>
      <c r="P124" s="1" t="str">
        <f>LEFT(Int_breweries[[#This Row],[MONTHS]], 3)</f>
        <v>Mar</v>
      </c>
    </row>
    <row r="125" spans="1:16" ht="12.5" x14ac:dyDescent="0.25">
      <c r="A125" s="1">
        <v>10224</v>
      </c>
      <c r="B125" s="1" t="s">
        <v>45</v>
      </c>
      <c r="C125" s="1" t="s">
        <v>46</v>
      </c>
      <c r="D125" t="s">
        <v>67</v>
      </c>
      <c r="E125" s="1">
        <v>150</v>
      </c>
      <c r="F125" s="1">
        <v>200</v>
      </c>
      <c r="G125" s="1">
        <v>914</v>
      </c>
      <c r="H125" s="1">
        <f>Int_breweries[[#This Row],[PLANT_COST]]*Int_breweries[[#This Row],[QUANTITY]]</f>
        <v>137100</v>
      </c>
      <c r="I125" s="1">
        <v>182800</v>
      </c>
      <c r="J125" s="1">
        <v>45700</v>
      </c>
      <c r="K125" s="1" t="s">
        <v>28</v>
      </c>
      <c r="L125" t="s">
        <v>58</v>
      </c>
      <c r="M125" s="1" t="s">
        <v>29</v>
      </c>
      <c r="N125" s="1">
        <v>2019</v>
      </c>
      <c r="O125" t="str" cm="1">
        <f t="array" ref="O125">_xlfn.IFS(OR($K125="Ghana", $K125="Nigeria"), "Anglophone", OR($K125="Togo", $K125="Benin", $K125="Senegal"), "Francophone")</f>
        <v>Francophone</v>
      </c>
      <c r="P125" s="1" t="str">
        <f>LEFT(Int_breweries[[#This Row],[MONTHS]], 3)</f>
        <v>Apr</v>
      </c>
    </row>
    <row r="126" spans="1:16" ht="12.5" x14ac:dyDescent="0.25">
      <c r="A126" s="1">
        <v>10225</v>
      </c>
      <c r="B126" s="1" t="s">
        <v>51</v>
      </c>
      <c r="C126" s="1" t="s">
        <v>52</v>
      </c>
      <c r="D126" t="s">
        <v>68</v>
      </c>
      <c r="E126" s="1">
        <v>80</v>
      </c>
      <c r="F126" s="1">
        <v>150</v>
      </c>
      <c r="G126" s="1">
        <v>763</v>
      </c>
      <c r="H126" s="1">
        <f>Int_breweries[[#This Row],[PLANT_COST]]*Int_breweries[[#This Row],[QUANTITY]]</f>
        <v>61040</v>
      </c>
      <c r="I126" s="1">
        <v>114450</v>
      </c>
      <c r="J126" s="1">
        <v>53410</v>
      </c>
      <c r="K126" s="1" t="s">
        <v>32</v>
      </c>
      <c r="L126" t="s">
        <v>59</v>
      </c>
      <c r="M126" s="1" t="s">
        <v>33</v>
      </c>
      <c r="N126" s="1">
        <v>2019</v>
      </c>
      <c r="O126" t="str" cm="1">
        <f t="array" ref="O126">_xlfn.IFS(OR($K126="Ghana", $K126="Nigeria"), "Anglophone", OR($K126="Togo", $K126="Benin", $K126="Senegal"), "Francophone")</f>
        <v>Francophone</v>
      </c>
      <c r="P126" s="1" t="str">
        <f>LEFT(Int_breweries[[#This Row],[MONTHS]], 3)</f>
        <v>May</v>
      </c>
    </row>
    <row r="127" spans="1:16" ht="12.5" x14ac:dyDescent="0.25">
      <c r="A127" s="1">
        <v>10226</v>
      </c>
      <c r="B127" s="1" t="s">
        <v>49</v>
      </c>
      <c r="C127" s="1" t="s">
        <v>50</v>
      </c>
      <c r="D127" t="s">
        <v>69</v>
      </c>
      <c r="E127" s="1">
        <v>90</v>
      </c>
      <c r="F127" s="1">
        <v>150</v>
      </c>
      <c r="G127" s="1">
        <v>951</v>
      </c>
      <c r="H127" s="1">
        <f>Int_breweries[[#This Row],[PLANT_COST]]*Int_breweries[[#This Row],[QUANTITY]]</f>
        <v>85590</v>
      </c>
      <c r="I127" s="1">
        <v>142650</v>
      </c>
      <c r="J127" s="1">
        <v>57060</v>
      </c>
      <c r="K127" s="1" t="s">
        <v>14</v>
      </c>
      <c r="L127" t="s">
        <v>60</v>
      </c>
      <c r="M127" s="1" t="s">
        <v>34</v>
      </c>
      <c r="N127" s="1">
        <v>2017</v>
      </c>
      <c r="O127" t="str" cm="1">
        <f t="array" ref="O127">_xlfn.IFS(OR($K127="Ghana", $K127="Nigeria"), "Anglophone", OR($K127="Togo", $K127="Benin", $K127="Senegal"), "Francophone")</f>
        <v>Anglophone</v>
      </c>
      <c r="P127" s="1" t="str">
        <f>LEFT(Int_breweries[[#This Row],[MONTHS]], 3)</f>
        <v>Jun</v>
      </c>
    </row>
    <row r="128" spans="1:16" ht="12.5" x14ac:dyDescent="0.25">
      <c r="A128" s="1">
        <v>10227</v>
      </c>
      <c r="B128" s="1" t="s">
        <v>45</v>
      </c>
      <c r="C128" s="1" t="s">
        <v>46</v>
      </c>
      <c r="D128" t="s">
        <v>63</v>
      </c>
      <c r="E128" s="1">
        <v>150</v>
      </c>
      <c r="F128" s="1">
        <v>200</v>
      </c>
      <c r="G128" s="1">
        <v>810</v>
      </c>
      <c r="H128" s="1">
        <f>Int_breweries[[#This Row],[PLANT_COST]]*Int_breweries[[#This Row],[QUANTITY]]</f>
        <v>121500</v>
      </c>
      <c r="I128" s="1">
        <v>162000</v>
      </c>
      <c r="J128" s="1">
        <v>40500</v>
      </c>
      <c r="K128" s="1" t="s">
        <v>19</v>
      </c>
      <c r="L128" t="s">
        <v>61</v>
      </c>
      <c r="M128" s="1" t="s">
        <v>37</v>
      </c>
      <c r="N128" s="1">
        <v>2018</v>
      </c>
      <c r="O128" t="str" cm="1">
        <f t="array" ref="O128">_xlfn.IFS(OR($K128="Ghana", $K128="Nigeria"), "Anglophone", OR($K128="Togo", $K128="Benin", $K128="Senegal"), "Francophone")</f>
        <v>Anglophone</v>
      </c>
      <c r="P128" s="1" t="str">
        <f>LEFT(Int_breweries[[#This Row],[MONTHS]], 3)</f>
        <v>Jul</v>
      </c>
    </row>
    <row r="129" spans="1:16" ht="12.5" x14ac:dyDescent="0.25">
      <c r="A129" s="1">
        <v>10228</v>
      </c>
      <c r="B129" s="1" t="s">
        <v>17</v>
      </c>
      <c r="C129" s="1" t="s">
        <v>18</v>
      </c>
      <c r="D129" t="s">
        <v>64</v>
      </c>
      <c r="E129" s="1">
        <v>250</v>
      </c>
      <c r="F129" s="1">
        <v>500</v>
      </c>
      <c r="G129" s="1">
        <v>886</v>
      </c>
      <c r="H129" s="1">
        <f>Int_breweries[[#This Row],[PLANT_COST]]*Int_breweries[[#This Row],[QUANTITY]]</f>
        <v>221500</v>
      </c>
      <c r="I129" s="1">
        <v>443000</v>
      </c>
      <c r="J129" s="1">
        <v>221500</v>
      </c>
      <c r="K129" s="1" t="s">
        <v>24</v>
      </c>
      <c r="L129" t="s">
        <v>62</v>
      </c>
      <c r="M129" s="1" t="s">
        <v>38</v>
      </c>
      <c r="N129" s="1">
        <v>2019</v>
      </c>
      <c r="O129" t="str" cm="1">
        <f t="array" ref="O129">_xlfn.IFS(OR($K129="Ghana", $K129="Nigeria"), "Anglophone", OR($K129="Togo", $K129="Benin", $K129="Senegal"), "Francophone")</f>
        <v>Francophone</v>
      </c>
      <c r="P129" s="1" t="str">
        <f>LEFT(Int_breweries[[#This Row],[MONTHS]], 3)</f>
        <v>Aug</v>
      </c>
    </row>
    <row r="130" spans="1:16" ht="12.5" x14ac:dyDescent="0.25">
      <c r="A130" s="1">
        <v>10229</v>
      </c>
      <c r="B130" s="1" t="s">
        <v>49</v>
      </c>
      <c r="C130" s="1" t="s">
        <v>50</v>
      </c>
      <c r="D130" t="s">
        <v>65</v>
      </c>
      <c r="E130" s="1">
        <v>180</v>
      </c>
      <c r="F130" s="1">
        <v>450</v>
      </c>
      <c r="G130" s="1">
        <v>984</v>
      </c>
      <c r="H130" s="1">
        <f>Int_breweries[[#This Row],[PLANT_COST]]*Int_breweries[[#This Row],[QUANTITY]]</f>
        <v>177120</v>
      </c>
      <c r="I130" s="1">
        <v>442800</v>
      </c>
      <c r="J130" s="1">
        <v>265680</v>
      </c>
      <c r="K130" s="1" t="s">
        <v>28</v>
      </c>
      <c r="L130" t="s">
        <v>15</v>
      </c>
      <c r="M130" s="1" t="s">
        <v>41</v>
      </c>
      <c r="N130" s="1">
        <v>2018</v>
      </c>
      <c r="O130" t="str" cm="1">
        <f t="array" ref="O130">_xlfn.IFS(OR($K130="Ghana", $K130="Nigeria"), "Anglophone", OR($K130="Togo", $K130="Benin", $K130="Senegal"), "Francophone")</f>
        <v>Francophone</v>
      </c>
      <c r="P130" s="1" t="str">
        <f>LEFT(Int_breweries[[#This Row],[MONTHS]], 3)</f>
        <v>Sep</v>
      </c>
    </row>
    <row r="131" spans="1:16" ht="12.5" x14ac:dyDescent="0.25">
      <c r="A131" s="1">
        <v>10230</v>
      </c>
      <c r="B131" s="1" t="s">
        <v>26</v>
      </c>
      <c r="C131" s="1" t="s">
        <v>27</v>
      </c>
      <c r="D131" t="s">
        <v>66</v>
      </c>
      <c r="E131" s="1">
        <v>170</v>
      </c>
      <c r="F131" s="1">
        <v>250</v>
      </c>
      <c r="G131" s="1">
        <v>974</v>
      </c>
      <c r="H131" s="1">
        <f>Int_breweries[[#This Row],[PLANT_COST]]*Int_breweries[[#This Row],[QUANTITY]]</f>
        <v>165580</v>
      </c>
      <c r="I131" s="1">
        <v>243500</v>
      </c>
      <c r="J131" s="1">
        <v>77920</v>
      </c>
      <c r="K131" s="1" t="s">
        <v>32</v>
      </c>
      <c r="L131" t="s">
        <v>58</v>
      </c>
      <c r="M131" s="1" t="s">
        <v>44</v>
      </c>
      <c r="N131" s="1">
        <v>2017</v>
      </c>
      <c r="O131" t="str" cm="1">
        <f t="array" ref="O131">_xlfn.IFS(OR($K131="Ghana", $K131="Nigeria"), "Anglophone", OR($K131="Togo", $K131="Benin", $K131="Senegal"), "Francophone")</f>
        <v>Francophone</v>
      </c>
      <c r="P131" s="1" t="str">
        <f>LEFT(Int_breweries[[#This Row],[MONTHS]], 3)</f>
        <v>Oct</v>
      </c>
    </row>
    <row r="132" spans="1:16" ht="12.5" x14ac:dyDescent="0.25">
      <c r="A132" s="1">
        <v>10231</v>
      </c>
      <c r="B132" s="1" t="s">
        <v>22</v>
      </c>
      <c r="C132" s="1" t="s">
        <v>23</v>
      </c>
      <c r="D132" t="s">
        <v>67</v>
      </c>
      <c r="E132" s="1">
        <v>150</v>
      </c>
      <c r="F132" s="1">
        <v>200</v>
      </c>
      <c r="G132" s="1">
        <v>901</v>
      </c>
      <c r="H132" s="1">
        <f>Int_breweries[[#This Row],[PLANT_COST]]*Int_breweries[[#This Row],[QUANTITY]]</f>
        <v>135150</v>
      </c>
      <c r="I132" s="1">
        <v>180200</v>
      </c>
      <c r="J132" s="1">
        <v>45050</v>
      </c>
      <c r="K132" s="1" t="s">
        <v>14</v>
      </c>
      <c r="L132" t="s">
        <v>59</v>
      </c>
      <c r="M132" s="1" t="s">
        <v>47</v>
      </c>
      <c r="N132" s="1">
        <v>2019</v>
      </c>
      <c r="O132" t="str" cm="1">
        <f t="array" ref="O132">_xlfn.IFS(OR($K132="Ghana", $K132="Nigeria"), "Anglophone", OR($K132="Togo", $K132="Benin", $K132="Senegal"), "Francophone")</f>
        <v>Anglophone</v>
      </c>
      <c r="P132" s="1" t="str">
        <f>LEFT(Int_breweries[[#This Row],[MONTHS]], 3)</f>
        <v>Nov</v>
      </c>
    </row>
    <row r="133" spans="1:16" ht="12.5" x14ac:dyDescent="0.25">
      <c r="A133" s="1">
        <v>10232</v>
      </c>
      <c r="B133" s="1" t="s">
        <v>12</v>
      </c>
      <c r="C133" s="1" t="s">
        <v>13</v>
      </c>
      <c r="D133" t="s">
        <v>68</v>
      </c>
      <c r="E133" s="1">
        <v>80</v>
      </c>
      <c r="F133" s="1">
        <v>150</v>
      </c>
      <c r="G133" s="1">
        <v>934</v>
      </c>
      <c r="H133" s="1">
        <f>Int_breweries[[#This Row],[PLANT_COST]]*Int_breweries[[#This Row],[QUANTITY]]</f>
        <v>74720</v>
      </c>
      <c r="I133" s="1">
        <v>140100</v>
      </c>
      <c r="J133" s="1">
        <v>65380</v>
      </c>
      <c r="K133" s="1" t="s">
        <v>19</v>
      </c>
      <c r="L133" t="s">
        <v>60</v>
      </c>
      <c r="M133" s="1" t="s">
        <v>48</v>
      </c>
      <c r="N133" s="1">
        <v>2019</v>
      </c>
      <c r="O133" t="str" cm="1">
        <f t="array" ref="O133">_xlfn.IFS(OR($K133="Ghana", $K133="Nigeria"), "Anglophone", OR($K133="Togo", $K133="Benin", $K133="Senegal"), "Francophone")</f>
        <v>Anglophone</v>
      </c>
      <c r="P133" s="1" t="str">
        <f>LEFT(Int_breweries[[#This Row],[MONTHS]], 3)</f>
        <v>Dec</v>
      </c>
    </row>
    <row r="134" spans="1:16" ht="12.5" x14ac:dyDescent="0.25">
      <c r="A134" s="1">
        <v>10233</v>
      </c>
      <c r="B134" s="1" t="s">
        <v>30</v>
      </c>
      <c r="C134" s="1" t="s">
        <v>31</v>
      </c>
      <c r="D134" t="s">
        <v>69</v>
      </c>
      <c r="E134" s="1">
        <v>90</v>
      </c>
      <c r="F134" s="1">
        <v>150</v>
      </c>
      <c r="G134" s="1">
        <v>832</v>
      </c>
      <c r="H134" s="1">
        <f>Int_breweries[[#This Row],[PLANT_COST]]*Int_breweries[[#This Row],[QUANTITY]]</f>
        <v>74880</v>
      </c>
      <c r="I134" s="1">
        <v>124800</v>
      </c>
      <c r="J134" s="1">
        <v>49920</v>
      </c>
      <c r="K134" s="1" t="s">
        <v>24</v>
      </c>
      <c r="L134" t="s">
        <v>61</v>
      </c>
      <c r="M134" s="1" t="s">
        <v>16</v>
      </c>
      <c r="N134" s="1">
        <v>2017</v>
      </c>
      <c r="O134" t="str" cm="1">
        <f t="array" ref="O134">_xlfn.IFS(OR($K134="Ghana", $K134="Nigeria"), "Anglophone", OR($K134="Togo", $K134="Benin", $K134="Senegal"), "Francophone")</f>
        <v>Francophone</v>
      </c>
      <c r="P134" s="1" t="str">
        <f>LEFT(Int_breweries[[#This Row],[MONTHS]], 3)</f>
        <v>Jan</v>
      </c>
    </row>
    <row r="135" spans="1:16" ht="12.5" x14ac:dyDescent="0.25">
      <c r="A135" s="1">
        <v>10234</v>
      </c>
      <c r="B135" s="1" t="s">
        <v>42</v>
      </c>
      <c r="C135" s="1" t="s">
        <v>43</v>
      </c>
      <c r="D135" t="s">
        <v>63</v>
      </c>
      <c r="E135" s="1">
        <v>150</v>
      </c>
      <c r="F135" s="1">
        <v>200</v>
      </c>
      <c r="G135" s="1">
        <v>840</v>
      </c>
      <c r="H135" s="1">
        <f>Int_breweries[[#This Row],[PLANT_COST]]*Int_breweries[[#This Row],[QUANTITY]]</f>
        <v>126000</v>
      </c>
      <c r="I135" s="1">
        <v>168000</v>
      </c>
      <c r="J135" s="1">
        <v>42000</v>
      </c>
      <c r="K135" s="1" t="s">
        <v>28</v>
      </c>
      <c r="L135" t="s">
        <v>62</v>
      </c>
      <c r="M135" s="1" t="s">
        <v>21</v>
      </c>
      <c r="N135" s="1">
        <v>2018</v>
      </c>
      <c r="O135" t="str" cm="1">
        <f t="array" ref="O135">_xlfn.IFS(OR($K135="Ghana", $K135="Nigeria"), "Anglophone", OR($K135="Togo", $K135="Benin", $K135="Senegal"), "Francophone")</f>
        <v>Francophone</v>
      </c>
      <c r="P135" s="1" t="str">
        <f>LEFT(Int_breweries[[#This Row],[MONTHS]], 3)</f>
        <v>Feb</v>
      </c>
    </row>
    <row r="136" spans="1:16" ht="12.5" x14ac:dyDescent="0.25">
      <c r="A136" s="1">
        <v>10235</v>
      </c>
      <c r="B136" s="1" t="s">
        <v>17</v>
      </c>
      <c r="C136" s="1" t="s">
        <v>18</v>
      </c>
      <c r="D136" t="s">
        <v>64</v>
      </c>
      <c r="E136" s="1">
        <v>250</v>
      </c>
      <c r="F136" s="1">
        <v>500</v>
      </c>
      <c r="G136" s="1">
        <v>966</v>
      </c>
      <c r="H136" s="1">
        <f>Int_breweries[[#This Row],[PLANT_COST]]*Int_breweries[[#This Row],[QUANTITY]]</f>
        <v>241500</v>
      </c>
      <c r="I136" s="1">
        <v>483000</v>
      </c>
      <c r="J136" s="1">
        <v>241500</v>
      </c>
      <c r="K136" s="1" t="s">
        <v>32</v>
      </c>
      <c r="L136" t="s">
        <v>15</v>
      </c>
      <c r="M136" s="1" t="s">
        <v>25</v>
      </c>
      <c r="N136" s="1">
        <v>2017</v>
      </c>
      <c r="O136" t="str" cm="1">
        <f t="array" ref="O136">_xlfn.IFS(OR($K136="Ghana", $K136="Nigeria"), "Anglophone", OR($K136="Togo", $K136="Benin", $K136="Senegal"), "Francophone")</f>
        <v>Francophone</v>
      </c>
      <c r="P136" s="1" t="str">
        <f>LEFT(Int_breweries[[#This Row],[MONTHS]], 3)</f>
        <v>Mar</v>
      </c>
    </row>
    <row r="137" spans="1:16" ht="12.5" x14ac:dyDescent="0.25">
      <c r="A137" s="1">
        <v>10236</v>
      </c>
      <c r="B137" s="1" t="s">
        <v>17</v>
      </c>
      <c r="C137" s="1" t="s">
        <v>18</v>
      </c>
      <c r="D137" t="s">
        <v>65</v>
      </c>
      <c r="E137" s="1">
        <v>180</v>
      </c>
      <c r="F137" s="1">
        <v>450</v>
      </c>
      <c r="G137" s="1">
        <v>832</v>
      </c>
      <c r="H137" s="1">
        <f>Int_breweries[[#This Row],[PLANT_COST]]*Int_breweries[[#This Row],[QUANTITY]]</f>
        <v>149760</v>
      </c>
      <c r="I137" s="1">
        <v>374400</v>
      </c>
      <c r="J137" s="1">
        <v>224640</v>
      </c>
      <c r="K137" s="1" t="s">
        <v>14</v>
      </c>
      <c r="L137" t="s">
        <v>58</v>
      </c>
      <c r="M137" s="1" t="s">
        <v>29</v>
      </c>
      <c r="N137" s="1">
        <v>2018</v>
      </c>
      <c r="O137" t="str" cm="1">
        <f t="array" ref="O137">_xlfn.IFS(OR($K137="Ghana", $K137="Nigeria"), "Anglophone", OR($K137="Togo", $K137="Benin", $K137="Senegal"), "Francophone")</f>
        <v>Anglophone</v>
      </c>
      <c r="P137" s="1" t="str">
        <f>LEFT(Int_breweries[[#This Row],[MONTHS]], 3)</f>
        <v>Apr</v>
      </c>
    </row>
    <row r="138" spans="1:16" ht="12.5" x14ac:dyDescent="0.25">
      <c r="A138" s="1">
        <v>10237</v>
      </c>
      <c r="B138" s="1" t="s">
        <v>51</v>
      </c>
      <c r="C138" s="1" t="s">
        <v>52</v>
      </c>
      <c r="D138" t="s">
        <v>66</v>
      </c>
      <c r="E138" s="1">
        <v>170</v>
      </c>
      <c r="F138" s="1">
        <v>250</v>
      </c>
      <c r="G138" s="1">
        <v>968</v>
      </c>
      <c r="H138" s="1">
        <f>Int_breweries[[#This Row],[PLANT_COST]]*Int_breweries[[#This Row],[QUANTITY]]</f>
        <v>164560</v>
      </c>
      <c r="I138" s="1">
        <v>242000</v>
      </c>
      <c r="J138" s="1">
        <v>77440</v>
      </c>
      <c r="K138" s="1" t="s">
        <v>19</v>
      </c>
      <c r="L138" t="s">
        <v>59</v>
      </c>
      <c r="M138" s="1" t="s">
        <v>33</v>
      </c>
      <c r="N138" s="1">
        <v>2019</v>
      </c>
      <c r="O138" t="str" cm="1">
        <f t="array" ref="O138">_xlfn.IFS(OR($K138="Ghana", $K138="Nigeria"), "Anglophone", OR($K138="Togo", $K138="Benin", $K138="Senegal"), "Francophone")</f>
        <v>Anglophone</v>
      </c>
      <c r="P138" s="1" t="str">
        <f>LEFT(Int_breweries[[#This Row],[MONTHS]], 3)</f>
        <v>May</v>
      </c>
    </row>
    <row r="139" spans="1:16" ht="12.5" x14ac:dyDescent="0.25">
      <c r="A139" s="1">
        <v>10238</v>
      </c>
      <c r="B139" s="1" t="s">
        <v>26</v>
      </c>
      <c r="C139" s="1" t="s">
        <v>27</v>
      </c>
      <c r="D139" t="s">
        <v>67</v>
      </c>
      <c r="E139" s="1">
        <v>150</v>
      </c>
      <c r="F139" s="1">
        <v>200</v>
      </c>
      <c r="G139" s="1">
        <v>791</v>
      </c>
      <c r="H139" s="1">
        <f>Int_breweries[[#This Row],[PLANT_COST]]*Int_breweries[[#This Row],[QUANTITY]]</f>
        <v>118650</v>
      </c>
      <c r="I139" s="1">
        <v>158200</v>
      </c>
      <c r="J139" s="1">
        <v>39550</v>
      </c>
      <c r="K139" s="1" t="s">
        <v>24</v>
      </c>
      <c r="L139" t="s">
        <v>60</v>
      </c>
      <c r="M139" s="1" t="s">
        <v>34</v>
      </c>
      <c r="N139" s="1">
        <v>2019</v>
      </c>
      <c r="O139" t="str" cm="1">
        <f t="array" ref="O139">_xlfn.IFS(OR($K139="Ghana", $K139="Nigeria"), "Anglophone", OR($K139="Togo", $K139="Benin", $K139="Senegal"), "Francophone")</f>
        <v>Francophone</v>
      </c>
      <c r="P139" s="1" t="str">
        <f>LEFT(Int_breweries[[#This Row],[MONTHS]], 3)</f>
        <v>Jun</v>
      </c>
    </row>
    <row r="140" spans="1:16" ht="12.5" x14ac:dyDescent="0.25">
      <c r="A140" s="1">
        <v>10239</v>
      </c>
      <c r="B140" s="1" t="s">
        <v>39</v>
      </c>
      <c r="C140" s="1" t="s">
        <v>40</v>
      </c>
      <c r="D140" t="s">
        <v>68</v>
      </c>
      <c r="E140" s="1">
        <v>80</v>
      </c>
      <c r="F140" s="1">
        <v>150</v>
      </c>
      <c r="G140" s="1">
        <v>774</v>
      </c>
      <c r="H140" s="1">
        <f>Int_breweries[[#This Row],[PLANT_COST]]*Int_breweries[[#This Row],[QUANTITY]]</f>
        <v>61920</v>
      </c>
      <c r="I140" s="1">
        <v>116100</v>
      </c>
      <c r="J140" s="1">
        <v>54180</v>
      </c>
      <c r="K140" s="1" t="s">
        <v>28</v>
      </c>
      <c r="L140" t="s">
        <v>61</v>
      </c>
      <c r="M140" s="1" t="s">
        <v>37</v>
      </c>
      <c r="N140" s="1">
        <v>2018</v>
      </c>
      <c r="O140" t="str" cm="1">
        <f t="array" ref="O140">_xlfn.IFS(OR($K140="Ghana", $K140="Nigeria"), "Anglophone", OR($K140="Togo", $K140="Benin", $K140="Senegal"), "Francophone")</f>
        <v>Francophone</v>
      </c>
      <c r="P140" s="1" t="str">
        <f>LEFT(Int_breweries[[#This Row],[MONTHS]], 3)</f>
        <v>Jul</v>
      </c>
    </row>
    <row r="141" spans="1:16" ht="12.5" x14ac:dyDescent="0.25">
      <c r="A141" s="1">
        <v>10240</v>
      </c>
      <c r="B141" s="1" t="s">
        <v>51</v>
      </c>
      <c r="C141" s="1" t="s">
        <v>52</v>
      </c>
      <c r="D141" t="s">
        <v>69</v>
      </c>
      <c r="E141" s="1">
        <v>90</v>
      </c>
      <c r="F141" s="1">
        <v>150</v>
      </c>
      <c r="G141" s="1">
        <v>992</v>
      </c>
      <c r="H141" s="1">
        <f>Int_breweries[[#This Row],[PLANT_COST]]*Int_breweries[[#This Row],[QUANTITY]]</f>
        <v>89280</v>
      </c>
      <c r="I141" s="1">
        <v>148800</v>
      </c>
      <c r="J141" s="1">
        <v>59520</v>
      </c>
      <c r="K141" s="1" t="s">
        <v>32</v>
      </c>
      <c r="L141" t="s">
        <v>62</v>
      </c>
      <c r="M141" s="1" t="s">
        <v>38</v>
      </c>
      <c r="N141" s="1">
        <v>2017</v>
      </c>
      <c r="O141" t="str" cm="1">
        <f t="array" ref="O141">_xlfn.IFS(OR($K141="Ghana", $K141="Nigeria"), "Anglophone", OR($K141="Togo", $K141="Benin", $K141="Senegal"), "Francophone")</f>
        <v>Francophone</v>
      </c>
      <c r="P141" s="1" t="str">
        <f>LEFT(Int_breweries[[#This Row],[MONTHS]], 3)</f>
        <v>Aug</v>
      </c>
    </row>
    <row r="142" spans="1:16" ht="12.5" x14ac:dyDescent="0.25">
      <c r="A142" s="1">
        <v>10241</v>
      </c>
      <c r="B142" s="1" t="s">
        <v>22</v>
      </c>
      <c r="C142" s="1" t="s">
        <v>23</v>
      </c>
      <c r="D142" t="s">
        <v>63</v>
      </c>
      <c r="E142" s="1">
        <v>150</v>
      </c>
      <c r="F142" s="1">
        <v>200</v>
      </c>
      <c r="G142" s="1">
        <v>881</v>
      </c>
      <c r="H142" s="1">
        <f>Int_breweries[[#This Row],[PLANT_COST]]*Int_breweries[[#This Row],[QUANTITY]]</f>
        <v>132150</v>
      </c>
      <c r="I142" s="1">
        <v>176200</v>
      </c>
      <c r="J142" s="1">
        <v>44050</v>
      </c>
      <c r="K142" s="1" t="s">
        <v>14</v>
      </c>
      <c r="L142" t="s">
        <v>15</v>
      </c>
      <c r="M142" s="1" t="s">
        <v>41</v>
      </c>
      <c r="N142" s="1">
        <v>2018</v>
      </c>
      <c r="O142" t="str" cm="1">
        <f t="array" ref="O142">_xlfn.IFS(OR($K142="Ghana", $K142="Nigeria"), "Anglophone", OR($K142="Togo", $K142="Benin", $K142="Senegal"), "Francophone")</f>
        <v>Anglophone</v>
      </c>
      <c r="P142" s="1" t="str">
        <f>LEFT(Int_breweries[[#This Row],[MONTHS]], 3)</f>
        <v>Sep</v>
      </c>
    </row>
    <row r="143" spans="1:16" ht="12.5" x14ac:dyDescent="0.25">
      <c r="A143" s="1">
        <v>10242</v>
      </c>
      <c r="B143" s="1" t="s">
        <v>17</v>
      </c>
      <c r="C143" s="1" t="s">
        <v>18</v>
      </c>
      <c r="D143" t="s">
        <v>64</v>
      </c>
      <c r="E143" s="1">
        <v>250</v>
      </c>
      <c r="F143" s="1">
        <v>500</v>
      </c>
      <c r="G143" s="1">
        <v>975</v>
      </c>
      <c r="H143" s="1">
        <f>Int_breweries[[#This Row],[PLANT_COST]]*Int_breweries[[#This Row],[QUANTITY]]</f>
        <v>243750</v>
      </c>
      <c r="I143" s="1">
        <v>487500</v>
      </c>
      <c r="J143" s="1">
        <v>243750</v>
      </c>
      <c r="K143" s="1" t="s">
        <v>19</v>
      </c>
      <c r="L143" t="s">
        <v>58</v>
      </c>
      <c r="M143" s="1" t="s">
        <v>44</v>
      </c>
      <c r="N143" s="1">
        <v>2017</v>
      </c>
      <c r="O143" t="str" cm="1">
        <f t="array" ref="O143">_xlfn.IFS(OR($K143="Ghana", $K143="Nigeria"), "Anglophone", OR($K143="Togo", $K143="Benin", $K143="Senegal"), "Francophone")</f>
        <v>Anglophone</v>
      </c>
      <c r="P143" s="1" t="str">
        <f>LEFT(Int_breweries[[#This Row],[MONTHS]], 3)</f>
        <v>Oct</v>
      </c>
    </row>
    <row r="144" spans="1:16" ht="12.5" x14ac:dyDescent="0.25">
      <c r="A144" s="1">
        <v>10243</v>
      </c>
      <c r="B144" s="1" t="s">
        <v>22</v>
      </c>
      <c r="C144" s="1" t="s">
        <v>23</v>
      </c>
      <c r="D144" t="s">
        <v>65</v>
      </c>
      <c r="E144" s="1">
        <v>180</v>
      </c>
      <c r="F144" s="1">
        <v>450</v>
      </c>
      <c r="G144" s="1">
        <v>733</v>
      </c>
      <c r="H144" s="1">
        <f>Int_breweries[[#This Row],[PLANT_COST]]*Int_breweries[[#This Row],[QUANTITY]]</f>
        <v>131940</v>
      </c>
      <c r="I144" s="1">
        <v>329850</v>
      </c>
      <c r="J144" s="1">
        <v>197910</v>
      </c>
      <c r="K144" s="1" t="s">
        <v>24</v>
      </c>
      <c r="L144" t="s">
        <v>59</v>
      </c>
      <c r="M144" s="1" t="s">
        <v>47</v>
      </c>
      <c r="N144" s="1">
        <v>2018</v>
      </c>
      <c r="O144" t="str" cm="1">
        <f t="array" ref="O144">_xlfn.IFS(OR($K144="Ghana", $K144="Nigeria"), "Anglophone", OR($K144="Togo", $K144="Benin", $K144="Senegal"), "Francophone")</f>
        <v>Francophone</v>
      </c>
      <c r="P144" s="1" t="str">
        <f>LEFT(Int_breweries[[#This Row],[MONTHS]], 3)</f>
        <v>Nov</v>
      </c>
    </row>
    <row r="145" spans="1:16" ht="12.5" x14ac:dyDescent="0.25">
      <c r="A145" s="1">
        <v>10244</v>
      </c>
      <c r="B145" s="1" t="s">
        <v>35</v>
      </c>
      <c r="C145" s="1" t="s">
        <v>36</v>
      </c>
      <c r="D145" t="s">
        <v>66</v>
      </c>
      <c r="E145" s="1">
        <v>170</v>
      </c>
      <c r="F145" s="1">
        <v>250</v>
      </c>
      <c r="G145" s="1">
        <v>776</v>
      </c>
      <c r="H145" s="1">
        <f>Int_breweries[[#This Row],[PLANT_COST]]*Int_breweries[[#This Row],[QUANTITY]]</f>
        <v>131920</v>
      </c>
      <c r="I145" s="1">
        <v>194000</v>
      </c>
      <c r="J145" s="1">
        <v>62080</v>
      </c>
      <c r="K145" s="1" t="s">
        <v>28</v>
      </c>
      <c r="L145" t="s">
        <v>60</v>
      </c>
      <c r="M145" s="1" t="s">
        <v>48</v>
      </c>
      <c r="N145" s="1">
        <v>2017</v>
      </c>
      <c r="O145" t="str" cm="1">
        <f t="array" ref="O145">_xlfn.IFS(OR($K145="Ghana", $K145="Nigeria"), "Anglophone", OR($K145="Togo", $K145="Benin", $K145="Senegal"), "Francophone")</f>
        <v>Francophone</v>
      </c>
      <c r="P145" s="1" t="str">
        <f>LEFT(Int_breweries[[#This Row],[MONTHS]], 3)</f>
        <v>Dec</v>
      </c>
    </row>
    <row r="146" spans="1:16" ht="12.5" x14ac:dyDescent="0.25">
      <c r="A146" s="1">
        <v>10245</v>
      </c>
      <c r="B146" s="1" t="s">
        <v>30</v>
      </c>
      <c r="C146" s="1" t="s">
        <v>31</v>
      </c>
      <c r="D146" t="s">
        <v>67</v>
      </c>
      <c r="E146" s="1">
        <v>150</v>
      </c>
      <c r="F146" s="1">
        <v>200</v>
      </c>
      <c r="G146" s="1">
        <v>924</v>
      </c>
      <c r="H146" s="1">
        <f>Int_breweries[[#This Row],[PLANT_COST]]*Int_breweries[[#This Row],[QUANTITY]]</f>
        <v>138600</v>
      </c>
      <c r="I146" s="1">
        <v>184800</v>
      </c>
      <c r="J146" s="1">
        <v>46200</v>
      </c>
      <c r="K146" s="1" t="s">
        <v>32</v>
      </c>
      <c r="L146" t="s">
        <v>61</v>
      </c>
      <c r="M146" s="1" t="s">
        <v>16</v>
      </c>
      <c r="N146" s="1">
        <v>2019</v>
      </c>
      <c r="O146" t="str" cm="1">
        <f t="array" ref="O146">_xlfn.IFS(OR($K146="Ghana", $K146="Nigeria"), "Anglophone", OR($K146="Togo", $K146="Benin", $K146="Senegal"), "Francophone")</f>
        <v>Francophone</v>
      </c>
      <c r="P146" s="1" t="str">
        <f>LEFT(Int_breweries[[#This Row],[MONTHS]], 3)</f>
        <v>Jan</v>
      </c>
    </row>
    <row r="147" spans="1:16" ht="12.5" x14ac:dyDescent="0.25">
      <c r="A147" s="1">
        <v>10246</v>
      </c>
      <c r="B147" s="1" t="s">
        <v>12</v>
      </c>
      <c r="C147" s="1" t="s">
        <v>13</v>
      </c>
      <c r="D147" t="s">
        <v>68</v>
      </c>
      <c r="E147" s="1">
        <v>80</v>
      </c>
      <c r="F147" s="1">
        <v>150</v>
      </c>
      <c r="G147" s="1">
        <v>744</v>
      </c>
      <c r="H147" s="1">
        <f>Int_breweries[[#This Row],[PLANT_COST]]*Int_breweries[[#This Row],[QUANTITY]]</f>
        <v>59520</v>
      </c>
      <c r="I147" s="1">
        <v>111600</v>
      </c>
      <c r="J147" s="1">
        <v>52080</v>
      </c>
      <c r="K147" s="1" t="s">
        <v>14</v>
      </c>
      <c r="L147" t="s">
        <v>62</v>
      </c>
      <c r="M147" s="1" t="s">
        <v>21</v>
      </c>
      <c r="N147" s="1">
        <v>2019</v>
      </c>
      <c r="O147" t="str" cm="1">
        <f t="array" ref="O147">_xlfn.IFS(OR($K147="Ghana", $K147="Nigeria"), "Anglophone", OR($K147="Togo", $K147="Benin", $K147="Senegal"), "Francophone")</f>
        <v>Anglophone</v>
      </c>
      <c r="P147" s="1" t="str">
        <f>LEFT(Int_breweries[[#This Row],[MONTHS]], 3)</f>
        <v>Feb</v>
      </c>
    </row>
    <row r="148" spans="1:16" ht="12.5" x14ac:dyDescent="0.25">
      <c r="A148" s="1">
        <v>10247</v>
      </c>
      <c r="B148" s="1" t="s">
        <v>12</v>
      </c>
      <c r="C148" s="1" t="s">
        <v>13</v>
      </c>
      <c r="D148" t="s">
        <v>69</v>
      </c>
      <c r="E148" s="1">
        <v>90</v>
      </c>
      <c r="F148" s="1">
        <v>150</v>
      </c>
      <c r="G148" s="1">
        <v>754</v>
      </c>
      <c r="H148" s="1">
        <f>Int_breweries[[#This Row],[PLANT_COST]]*Int_breweries[[#This Row],[QUANTITY]]</f>
        <v>67860</v>
      </c>
      <c r="I148" s="1">
        <v>113100</v>
      </c>
      <c r="J148" s="1">
        <v>45240</v>
      </c>
      <c r="K148" s="1" t="s">
        <v>19</v>
      </c>
      <c r="L148" t="s">
        <v>15</v>
      </c>
      <c r="M148" s="1" t="s">
        <v>25</v>
      </c>
      <c r="N148" s="1">
        <v>2019</v>
      </c>
      <c r="O148" t="str" cm="1">
        <f t="array" ref="O148">_xlfn.IFS(OR($K148="Ghana", $K148="Nigeria"), "Anglophone", OR($K148="Togo", $K148="Benin", $K148="Senegal"), "Francophone")</f>
        <v>Anglophone</v>
      </c>
      <c r="P148" s="1" t="str">
        <f>LEFT(Int_breweries[[#This Row],[MONTHS]], 3)</f>
        <v>Mar</v>
      </c>
    </row>
    <row r="149" spans="1:16" ht="12.5" x14ac:dyDescent="0.25">
      <c r="A149" s="1">
        <v>10248</v>
      </c>
      <c r="B149" s="1" t="s">
        <v>30</v>
      </c>
      <c r="C149" s="1" t="s">
        <v>31</v>
      </c>
      <c r="D149" t="s">
        <v>63</v>
      </c>
      <c r="E149" s="1">
        <v>150</v>
      </c>
      <c r="F149" s="1">
        <v>200</v>
      </c>
      <c r="G149" s="1">
        <v>792</v>
      </c>
      <c r="H149" s="1">
        <f>Int_breweries[[#This Row],[PLANT_COST]]*Int_breweries[[#This Row],[QUANTITY]]</f>
        <v>118800</v>
      </c>
      <c r="I149" s="1">
        <v>158400</v>
      </c>
      <c r="J149" s="1">
        <v>39600</v>
      </c>
      <c r="K149" s="1" t="s">
        <v>24</v>
      </c>
      <c r="L149" t="s">
        <v>58</v>
      </c>
      <c r="M149" s="1" t="s">
        <v>29</v>
      </c>
      <c r="N149" s="1">
        <v>2019</v>
      </c>
      <c r="O149" t="str" cm="1">
        <f t="array" ref="O149">_xlfn.IFS(OR($K149="Ghana", $K149="Nigeria"), "Anglophone", OR($K149="Togo", $K149="Benin", $K149="Senegal"), "Francophone")</f>
        <v>Francophone</v>
      </c>
      <c r="P149" s="1" t="str">
        <f>LEFT(Int_breweries[[#This Row],[MONTHS]], 3)</f>
        <v>Apr</v>
      </c>
    </row>
    <row r="150" spans="1:16" ht="12.5" x14ac:dyDescent="0.25">
      <c r="A150" s="1">
        <v>10249</v>
      </c>
      <c r="B150" s="1" t="s">
        <v>12</v>
      </c>
      <c r="C150" s="1" t="s">
        <v>13</v>
      </c>
      <c r="D150" t="s">
        <v>64</v>
      </c>
      <c r="E150" s="1">
        <v>250</v>
      </c>
      <c r="F150" s="1">
        <v>500</v>
      </c>
      <c r="G150" s="1">
        <v>838</v>
      </c>
      <c r="H150" s="1">
        <f>Int_breweries[[#This Row],[PLANT_COST]]*Int_breweries[[#This Row],[QUANTITY]]</f>
        <v>209500</v>
      </c>
      <c r="I150" s="1">
        <v>419000</v>
      </c>
      <c r="J150" s="1">
        <v>209500</v>
      </c>
      <c r="K150" s="1" t="s">
        <v>28</v>
      </c>
      <c r="L150" t="s">
        <v>59</v>
      </c>
      <c r="M150" s="1" t="s">
        <v>33</v>
      </c>
      <c r="N150" s="1">
        <v>2017</v>
      </c>
      <c r="O150" t="str" cm="1">
        <f t="array" ref="O150">_xlfn.IFS(OR($K150="Ghana", $K150="Nigeria"), "Anglophone", OR($K150="Togo", $K150="Benin", $K150="Senegal"), "Francophone")</f>
        <v>Francophone</v>
      </c>
      <c r="P150" s="1" t="str">
        <f>LEFT(Int_breweries[[#This Row],[MONTHS]], 3)</f>
        <v>May</v>
      </c>
    </row>
    <row r="151" spans="1:16" ht="12.5" x14ac:dyDescent="0.25">
      <c r="A151" s="1">
        <v>10250</v>
      </c>
      <c r="B151" s="1" t="s">
        <v>17</v>
      </c>
      <c r="C151" s="1" t="s">
        <v>18</v>
      </c>
      <c r="D151" t="s">
        <v>65</v>
      </c>
      <c r="E151" s="1">
        <v>180</v>
      </c>
      <c r="F151" s="1">
        <v>450</v>
      </c>
      <c r="G151" s="1">
        <v>963</v>
      </c>
      <c r="H151" s="1">
        <f>Int_breweries[[#This Row],[PLANT_COST]]*Int_breweries[[#This Row],[QUANTITY]]</f>
        <v>173340</v>
      </c>
      <c r="I151" s="1">
        <v>433350</v>
      </c>
      <c r="J151" s="1">
        <v>260010</v>
      </c>
      <c r="K151" s="1" t="s">
        <v>32</v>
      </c>
      <c r="L151" t="s">
        <v>60</v>
      </c>
      <c r="M151" s="1" t="s">
        <v>34</v>
      </c>
      <c r="N151" s="1">
        <v>2017</v>
      </c>
      <c r="O151" t="str" cm="1">
        <f t="array" ref="O151">_xlfn.IFS(OR($K151="Ghana", $K151="Nigeria"), "Anglophone", OR($K151="Togo", $K151="Benin", $K151="Senegal"), "Francophone")</f>
        <v>Francophone</v>
      </c>
      <c r="P151" s="1" t="str">
        <f>LEFT(Int_breweries[[#This Row],[MONTHS]], 3)</f>
        <v>Jun</v>
      </c>
    </row>
    <row r="152" spans="1:16" ht="12.5" x14ac:dyDescent="0.25">
      <c r="A152" s="1">
        <v>10251</v>
      </c>
      <c r="B152" s="1" t="s">
        <v>22</v>
      </c>
      <c r="C152" s="1" t="s">
        <v>23</v>
      </c>
      <c r="D152" t="s">
        <v>66</v>
      </c>
      <c r="E152" s="1">
        <v>170</v>
      </c>
      <c r="F152" s="1">
        <v>250</v>
      </c>
      <c r="G152" s="1">
        <v>995</v>
      </c>
      <c r="H152" s="1">
        <f>Int_breweries[[#This Row],[PLANT_COST]]*Int_breweries[[#This Row],[QUANTITY]]</f>
        <v>169150</v>
      </c>
      <c r="I152" s="1">
        <v>248750</v>
      </c>
      <c r="J152" s="1">
        <v>79600</v>
      </c>
      <c r="K152" s="1" t="s">
        <v>14</v>
      </c>
      <c r="L152" t="s">
        <v>61</v>
      </c>
      <c r="M152" s="1" t="s">
        <v>37</v>
      </c>
      <c r="N152" s="1">
        <v>2017</v>
      </c>
      <c r="O152" t="str" cm="1">
        <f t="array" ref="O152">_xlfn.IFS(OR($K152="Ghana", $K152="Nigeria"), "Anglophone", OR($K152="Togo", $K152="Benin", $K152="Senegal"), "Francophone")</f>
        <v>Anglophone</v>
      </c>
      <c r="P152" s="1" t="str">
        <f>LEFT(Int_breweries[[#This Row],[MONTHS]], 3)</f>
        <v>Jul</v>
      </c>
    </row>
    <row r="153" spans="1:16" ht="12.5" x14ac:dyDescent="0.25">
      <c r="A153" s="1">
        <v>10252</v>
      </c>
      <c r="B153" s="1" t="s">
        <v>26</v>
      </c>
      <c r="C153" s="1" t="s">
        <v>27</v>
      </c>
      <c r="D153" t="s">
        <v>67</v>
      </c>
      <c r="E153" s="1">
        <v>150</v>
      </c>
      <c r="F153" s="1">
        <v>200</v>
      </c>
      <c r="G153" s="1">
        <v>941</v>
      </c>
      <c r="H153" s="1">
        <f>Int_breweries[[#This Row],[PLANT_COST]]*Int_breweries[[#This Row],[QUANTITY]]</f>
        <v>141150</v>
      </c>
      <c r="I153" s="1">
        <v>188200</v>
      </c>
      <c r="J153" s="1">
        <v>47050</v>
      </c>
      <c r="K153" s="1" t="s">
        <v>19</v>
      </c>
      <c r="L153" t="s">
        <v>62</v>
      </c>
      <c r="M153" s="1" t="s">
        <v>38</v>
      </c>
      <c r="N153" s="1">
        <v>2017</v>
      </c>
      <c r="O153" t="str" cm="1">
        <f t="array" ref="O153">_xlfn.IFS(OR($K153="Ghana", $K153="Nigeria"), "Anglophone", OR($K153="Togo", $K153="Benin", $K153="Senegal"), "Francophone")</f>
        <v>Anglophone</v>
      </c>
      <c r="P153" s="1" t="str">
        <f>LEFT(Int_breweries[[#This Row],[MONTHS]], 3)</f>
        <v>Aug</v>
      </c>
    </row>
    <row r="154" spans="1:16" ht="12.5" x14ac:dyDescent="0.25">
      <c r="A154" s="1">
        <v>10253</v>
      </c>
      <c r="B154" s="1" t="s">
        <v>30</v>
      </c>
      <c r="C154" s="1" t="s">
        <v>31</v>
      </c>
      <c r="D154" t="s">
        <v>68</v>
      </c>
      <c r="E154" s="1">
        <v>80</v>
      </c>
      <c r="F154" s="1">
        <v>150</v>
      </c>
      <c r="G154" s="1">
        <v>930</v>
      </c>
      <c r="H154" s="1">
        <f>Int_breweries[[#This Row],[PLANT_COST]]*Int_breweries[[#This Row],[QUANTITY]]</f>
        <v>74400</v>
      </c>
      <c r="I154" s="1">
        <v>139500</v>
      </c>
      <c r="J154" s="1">
        <v>65100</v>
      </c>
      <c r="K154" s="1" t="s">
        <v>24</v>
      </c>
      <c r="L154" t="s">
        <v>15</v>
      </c>
      <c r="M154" s="1" t="s">
        <v>41</v>
      </c>
      <c r="N154" s="1">
        <v>2018</v>
      </c>
      <c r="O154" t="str" cm="1">
        <f t="array" ref="O154">_xlfn.IFS(OR($K154="Ghana", $K154="Nigeria"), "Anglophone", OR($K154="Togo", $K154="Benin", $K154="Senegal"), "Francophone")</f>
        <v>Francophone</v>
      </c>
      <c r="P154" s="1" t="str">
        <f>LEFT(Int_breweries[[#This Row],[MONTHS]], 3)</f>
        <v>Sep</v>
      </c>
    </row>
    <row r="155" spans="1:16" ht="12.5" x14ac:dyDescent="0.25">
      <c r="A155" s="1">
        <v>10254</v>
      </c>
      <c r="B155" s="1" t="s">
        <v>12</v>
      </c>
      <c r="C155" s="1" t="s">
        <v>13</v>
      </c>
      <c r="D155" t="s">
        <v>69</v>
      </c>
      <c r="E155" s="1">
        <v>90</v>
      </c>
      <c r="F155" s="1">
        <v>150</v>
      </c>
      <c r="G155" s="1">
        <v>780</v>
      </c>
      <c r="H155" s="1">
        <f>Int_breweries[[#This Row],[PLANT_COST]]*Int_breweries[[#This Row],[QUANTITY]]</f>
        <v>70200</v>
      </c>
      <c r="I155" s="1">
        <v>117000</v>
      </c>
      <c r="J155" s="1">
        <v>46800</v>
      </c>
      <c r="K155" s="1" t="s">
        <v>28</v>
      </c>
      <c r="L155" t="s">
        <v>58</v>
      </c>
      <c r="M155" s="1" t="s">
        <v>44</v>
      </c>
      <c r="N155" s="1">
        <v>2019</v>
      </c>
      <c r="O155" t="str" cm="1">
        <f t="array" ref="O155">_xlfn.IFS(OR($K155="Ghana", $K155="Nigeria"), "Anglophone", OR($K155="Togo", $K155="Benin", $K155="Senegal"), "Francophone")</f>
        <v>Francophone</v>
      </c>
      <c r="P155" s="1" t="str">
        <f>LEFT(Int_breweries[[#This Row],[MONTHS]], 3)</f>
        <v>Oct</v>
      </c>
    </row>
    <row r="156" spans="1:16" ht="12.5" x14ac:dyDescent="0.25">
      <c r="A156" s="1">
        <v>10255</v>
      </c>
      <c r="B156" s="1" t="s">
        <v>35</v>
      </c>
      <c r="C156" s="1" t="s">
        <v>36</v>
      </c>
      <c r="D156" t="s">
        <v>63</v>
      </c>
      <c r="E156" s="1">
        <v>150</v>
      </c>
      <c r="F156" s="1">
        <v>200</v>
      </c>
      <c r="G156" s="1">
        <v>729</v>
      </c>
      <c r="H156" s="1">
        <f>Int_breweries[[#This Row],[PLANT_COST]]*Int_breweries[[#This Row],[QUANTITY]]</f>
        <v>109350</v>
      </c>
      <c r="I156" s="1">
        <v>145800</v>
      </c>
      <c r="J156" s="1">
        <v>36450</v>
      </c>
      <c r="K156" s="1" t="s">
        <v>32</v>
      </c>
      <c r="L156" t="s">
        <v>59</v>
      </c>
      <c r="M156" s="1" t="s">
        <v>47</v>
      </c>
      <c r="N156" s="1">
        <v>2019</v>
      </c>
      <c r="O156" t="str" cm="1">
        <f t="array" ref="O156">_xlfn.IFS(OR($K156="Ghana", $K156="Nigeria"), "Anglophone", OR($K156="Togo", $K156="Benin", $K156="Senegal"), "Francophone")</f>
        <v>Francophone</v>
      </c>
      <c r="P156" s="1" t="str">
        <f>LEFT(Int_breweries[[#This Row],[MONTHS]], 3)</f>
        <v>Nov</v>
      </c>
    </row>
    <row r="157" spans="1:16" ht="12.5" x14ac:dyDescent="0.25">
      <c r="A157" s="1">
        <v>10256</v>
      </c>
      <c r="B157" s="1" t="s">
        <v>26</v>
      </c>
      <c r="C157" s="1" t="s">
        <v>27</v>
      </c>
      <c r="D157" t="s">
        <v>64</v>
      </c>
      <c r="E157" s="1">
        <v>250</v>
      </c>
      <c r="F157" s="1">
        <v>500</v>
      </c>
      <c r="G157" s="1">
        <v>909</v>
      </c>
      <c r="H157" s="1">
        <f>Int_breweries[[#This Row],[PLANT_COST]]*Int_breweries[[#This Row],[QUANTITY]]</f>
        <v>227250</v>
      </c>
      <c r="I157" s="1">
        <v>454500</v>
      </c>
      <c r="J157" s="1">
        <v>227250</v>
      </c>
      <c r="K157" s="1" t="s">
        <v>14</v>
      </c>
      <c r="L157" t="s">
        <v>60</v>
      </c>
      <c r="M157" s="1" t="s">
        <v>48</v>
      </c>
      <c r="N157" s="1">
        <v>2019</v>
      </c>
      <c r="O157" t="str" cm="1">
        <f t="array" ref="O157">_xlfn.IFS(OR($K157="Ghana", $K157="Nigeria"), "Anglophone", OR($K157="Togo", $K157="Benin", $K157="Senegal"), "Francophone")</f>
        <v>Anglophone</v>
      </c>
      <c r="P157" s="1" t="str">
        <f>LEFT(Int_breweries[[#This Row],[MONTHS]], 3)</f>
        <v>Dec</v>
      </c>
    </row>
    <row r="158" spans="1:16" ht="12.5" x14ac:dyDescent="0.25">
      <c r="A158" s="1">
        <v>10257</v>
      </c>
      <c r="B158" s="1" t="s">
        <v>39</v>
      </c>
      <c r="C158" s="1" t="s">
        <v>40</v>
      </c>
      <c r="D158" t="s">
        <v>65</v>
      </c>
      <c r="E158" s="1">
        <v>180</v>
      </c>
      <c r="F158" s="1">
        <v>450</v>
      </c>
      <c r="G158" s="1">
        <v>961</v>
      </c>
      <c r="H158" s="1">
        <f>Int_breweries[[#This Row],[PLANT_COST]]*Int_breweries[[#This Row],[QUANTITY]]</f>
        <v>172980</v>
      </c>
      <c r="I158" s="1">
        <v>432450</v>
      </c>
      <c r="J158" s="1">
        <v>259470</v>
      </c>
      <c r="K158" s="1" t="s">
        <v>19</v>
      </c>
      <c r="L158" t="s">
        <v>61</v>
      </c>
      <c r="M158" s="1" t="s">
        <v>16</v>
      </c>
      <c r="N158" s="1">
        <v>2018</v>
      </c>
      <c r="O158" t="str" cm="1">
        <f t="array" ref="O158">_xlfn.IFS(OR($K158="Ghana", $K158="Nigeria"), "Anglophone", OR($K158="Togo", $K158="Benin", $K158="Senegal"), "Francophone")</f>
        <v>Anglophone</v>
      </c>
      <c r="P158" s="1" t="str">
        <f>LEFT(Int_breweries[[#This Row],[MONTHS]], 3)</f>
        <v>Jan</v>
      </c>
    </row>
    <row r="159" spans="1:16" ht="12.5" x14ac:dyDescent="0.25">
      <c r="A159" s="1">
        <v>10258</v>
      </c>
      <c r="B159" s="1" t="s">
        <v>42</v>
      </c>
      <c r="C159" s="1" t="s">
        <v>43</v>
      </c>
      <c r="D159" t="s">
        <v>66</v>
      </c>
      <c r="E159" s="1">
        <v>170</v>
      </c>
      <c r="F159" s="1">
        <v>250</v>
      </c>
      <c r="G159" s="1">
        <v>729</v>
      </c>
      <c r="H159" s="1">
        <f>Int_breweries[[#This Row],[PLANT_COST]]*Int_breweries[[#This Row],[QUANTITY]]</f>
        <v>123930</v>
      </c>
      <c r="I159" s="1">
        <v>182250</v>
      </c>
      <c r="J159" s="1">
        <v>58320</v>
      </c>
      <c r="K159" s="1" t="s">
        <v>24</v>
      </c>
      <c r="L159" t="s">
        <v>62</v>
      </c>
      <c r="M159" s="1" t="s">
        <v>21</v>
      </c>
      <c r="N159" s="1">
        <v>2018</v>
      </c>
      <c r="O159" t="str" cm="1">
        <f t="array" ref="O159">_xlfn.IFS(OR($K159="Ghana", $K159="Nigeria"), "Anglophone", OR($K159="Togo", $K159="Benin", $K159="Senegal"), "Francophone")</f>
        <v>Francophone</v>
      </c>
      <c r="P159" s="1" t="str">
        <f>LEFT(Int_breweries[[#This Row],[MONTHS]], 3)</f>
        <v>Feb</v>
      </c>
    </row>
    <row r="160" spans="1:16" ht="12.5" x14ac:dyDescent="0.25">
      <c r="A160" s="1">
        <v>10259</v>
      </c>
      <c r="B160" s="1" t="s">
        <v>45</v>
      </c>
      <c r="C160" s="1" t="s">
        <v>46</v>
      </c>
      <c r="D160" t="s">
        <v>67</v>
      </c>
      <c r="E160" s="1">
        <v>150</v>
      </c>
      <c r="F160" s="1">
        <v>200</v>
      </c>
      <c r="G160" s="1">
        <v>944</v>
      </c>
      <c r="H160" s="1">
        <f>Int_breweries[[#This Row],[PLANT_COST]]*Int_breweries[[#This Row],[QUANTITY]]</f>
        <v>141600</v>
      </c>
      <c r="I160" s="1">
        <v>188800</v>
      </c>
      <c r="J160" s="1">
        <v>47200</v>
      </c>
      <c r="K160" s="1" t="s">
        <v>28</v>
      </c>
      <c r="L160" t="s">
        <v>15</v>
      </c>
      <c r="M160" s="1" t="s">
        <v>25</v>
      </c>
      <c r="N160" s="1">
        <v>2019</v>
      </c>
      <c r="O160" t="str" cm="1">
        <f t="array" ref="O160">_xlfn.IFS(OR($K160="Ghana", $K160="Nigeria"), "Anglophone", OR($K160="Togo", $K160="Benin", $K160="Senegal"), "Francophone")</f>
        <v>Francophone</v>
      </c>
      <c r="P160" s="1" t="str">
        <f>LEFT(Int_breweries[[#This Row],[MONTHS]], 3)</f>
        <v>Mar</v>
      </c>
    </row>
    <row r="161" spans="1:16" ht="12.5" x14ac:dyDescent="0.25">
      <c r="A161" s="1">
        <v>10260</v>
      </c>
      <c r="B161" s="1" t="s">
        <v>26</v>
      </c>
      <c r="C161" s="1" t="s">
        <v>27</v>
      </c>
      <c r="D161" t="s">
        <v>68</v>
      </c>
      <c r="E161" s="1">
        <v>80</v>
      </c>
      <c r="F161" s="1">
        <v>150</v>
      </c>
      <c r="G161" s="1">
        <v>981</v>
      </c>
      <c r="H161" s="1">
        <f>Int_breweries[[#This Row],[PLANT_COST]]*Int_breweries[[#This Row],[QUANTITY]]</f>
        <v>78480</v>
      </c>
      <c r="I161" s="1">
        <v>147150</v>
      </c>
      <c r="J161" s="1">
        <v>68670</v>
      </c>
      <c r="K161" s="1" t="s">
        <v>32</v>
      </c>
      <c r="L161" t="s">
        <v>58</v>
      </c>
      <c r="M161" s="1" t="s">
        <v>29</v>
      </c>
      <c r="N161" s="1">
        <v>2017</v>
      </c>
      <c r="O161" t="str" cm="1">
        <f t="array" ref="O161">_xlfn.IFS(OR($K161="Ghana", $K161="Nigeria"), "Anglophone", OR($K161="Togo", $K161="Benin", $K161="Senegal"), "Francophone")</f>
        <v>Francophone</v>
      </c>
      <c r="P161" s="1" t="str">
        <f>LEFT(Int_breweries[[#This Row],[MONTHS]], 3)</f>
        <v>Apr</v>
      </c>
    </row>
    <row r="162" spans="1:16" ht="12.5" x14ac:dyDescent="0.25">
      <c r="A162" s="1">
        <v>10261</v>
      </c>
      <c r="B162" s="1" t="s">
        <v>49</v>
      </c>
      <c r="C162" s="1" t="s">
        <v>50</v>
      </c>
      <c r="D162" t="s">
        <v>69</v>
      </c>
      <c r="E162" s="1">
        <v>90</v>
      </c>
      <c r="F162" s="1">
        <v>150</v>
      </c>
      <c r="G162" s="1">
        <v>763</v>
      </c>
      <c r="H162" s="1">
        <f>Int_breweries[[#This Row],[PLANT_COST]]*Int_breweries[[#This Row],[QUANTITY]]</f>
        <v>68670</v>
      </c>
      <c r="I162" s="1">
        <v>114450</v>
      </c>
      <c r="J162" s="1">
        <v>45780</v>
      </c>
      <c r="K162" s="1" t="s">
        <v>14</v>
      </c>
      <c r="L162" t="s">
        <v>59</v>
      </c>
      <c r="M162" s="1" t="s">
        <v>33</v>
      </c>
      <c r="N162" s="1">
        <v>2018</v>
      </c>
      <c r="O162" t="str" cm="1">
        <f t="array" ref="O162">_xlfn.IFS(OR($K162="Ghana", $K162="Nigeria"), "Anglophone", OR($K162="Togo", $K162="Benin", $K162="Senegal"), "Francophone")</f>
        <v>Anglophone</v>
      </c>
      <c r="P162" s="1" t="str">
        <f>LEFT(Int_breweries[[#This Row],[MONTHS]], 3)</f>
        <v>May</v>
      </c>
    </row>
    <row r="163" spans="1:16" ht="12.5" x14ac:dyDescent="0.25">
      <c r="A163" s="1">
        <v>10262</v>
      </c>
      <c r="B163" s="1" t="s">
        <v>26</v>
      </c>
      <c r="C163" s="1" t="s">
        <v>27</v>
      </c>
      <c r="D163" t="s">
        <v>63</v>
      </c>
      <c r="E163" s="1">
        <v>150</v>
      </c>
      <c r="F163" s="1">
        <v>200</v>
      </c>
      <c r="G163" s="1">
        <v>885</v>
      </c>
      <c r="H163" s="1">
        <f>Int_breweries[[#This Row],[PLANT_COST]]*Int_breweries[[#This Row],[QUANTITY]]</f>
        <v>132750</v>
      </c>
      <c r="I163" s="1">
        <v>177000</v>
      </c>
      <c r="J163" s="1">
        <v>44250</v>
      </c>
      <c r="K163" s="1" t="s">
        <v>19</v>
      </c>
      <c r="L163" t="s">
        <v>60</v>
      </c>
      <c r="M163" s="1" t="s">
        <v>34</v>
      </c>
      <c r="N163" s="1">
        <v>2017</v>
      </c>
      <c r="O163" t="str" cm="1">
        <f t="array" ref="O163">_xlfn.IFS(OR($K163="Ghana", $K163="Nigeria"), "Anglophone", OR($K163="Togo", $K163="Benin", $K163="Senegal"), "Francophone")</f>
        <v>Anglophone</v>
      </c>
      <c r="P163" s="1" t="str">
        <f>LEFT(Int_breweries[[#This Row],[MONTHS]], 3)</f>
        <v>Jun</v>
      </c>
    </row>
    <row r="164" spans="1:16" ht="12.5" x14ac:dyDescent="0.25">
      <c r="A164" s="1">
        <v>10263</v>
      </c>
      <c r="B164" s="1" t="s">
        <v>39</v>
      </c>
      <c r="C164" s="1" t="s">
        <v>40</v>
      </c>
      <c r="D164" t="s">
        <v>64</v>
      </c>
      <c r="E164" s="1">
        <v>250</v>
      </c>
      <c r="F164" s="1">
        <v>500</v>
      </c>
      <c r="G164" s="1">
        <v>854</v>
      </c>
      <c r="H164" s="1">
        <f>Int_breweries[[#This Row],[PLANT_COST]]*Int_breweries[[#This Row],[QUANTITY]]</f>
        <v>213500</v>
      </c>
      <c r="I164" s="1">
        <v>427000</v>
      </c>
      <c r="J164" s="1">
        <v>213500</v>
      </c>
      <c r="K164" s="1" t="s">
        <v>24</v>
      </c>
      <c r="L164" t="s">
        <v>61</v>
      </c>
      <c r="M164" s="1" t="s">
        <v>37</v>
      </c>
      <c r="N164" s="1">
        <v>2018</v>
      </c>
      <c r="O164" t="str" cm="1">
        <f t="array" ref="O164">_xlfn.IFS(OR($K164="Ghana", $K164="Nigeria"), "Anglophone", OR($K164="Togo", $K164="Benin", $K164="Senegal"), "Francophone")</f>
        <v>Francophone</v>
      </c>
      <c r="P164" s="1" t="str">
        <f>LEFT(Int_breweries[[#This Row],[MONTHS]], 3)</f>
        <v>Jul</v>
      </c>
    </row>
    <row r="165" spans="1:16" ht="12.5" x14ac:dyDescent="0.25">
      <c r="A165" s="1">
        <v>10264</v>
      </c>
      <c r="B165" s="1" t="s">
        <v>26</v>
      </c>
      <c r="C165" s="1" t="s">
        <v>27</v>
      </c>
      <c r="D165" t="s">
        <v>65</v>
      </c>
      <c r="E165" s="1">
        <v>180</v>
      </c>
      <c r="F165" s="1">
        <v>450</v>
      </c>
      <c r="G165" s="1">
        <v>727</v>
      </c>
      <c r="H165" s="1">
        <f>Int_breweries[[#This Row],[PLANT_COST]]*Int_breweries[[#This Row],[QUANTITY]]</f>
        <v>130860</v>
      </c>
      <c r="I165" s="1">
        <v>327150</v>
      </c>
      <c r="J165" s="1">
        <v>196290</v>
      </c>
      <c r="K165" s="1" t="s">
        <v>28</v>
      </c>
      <c r="L165" t="s">
        <v>62</v>
      </c>
      <c r="M165" s="1" t="s">
        <v>38</v>
      </c>
      <c r="N165" s="1">
        <v>2018</v>
      </c>
      <c r="O165" t="str" cm="1">
        <f t="array" ref="O165">_xlfn.IFS(OR($K165="Ghana", $K165="Nigeria"), "Anglophone", OR($K165="Togo", $K165="Benin", $K165="Senegal"), "Francophone")</f>
        <v>Francophone</v>
      </c>
      <c r="P165" s="1" t="str">
        <f>LEFT(Int_breweries[[#This Row],[MONTHS]], 3)</f>
        <v>Aug</v>
      </c>
    </row>
    <row r="166" spans="1:16" ht="12.5" x14ac:dyDescent="0.25">
      <c r="A166" s="1">
        <v>10265</v>
      </c>
      <c r="B166" s="1" t="s">
        <v>45</v>
      </c>
      <c r="C166" s="1" t="s">
        <v>46</v>
      </c>
      <c r="D166" t="s">
        <v>66</v>
      </c>
      <c r="E166" s="1">
        <v>170</v>
      </c>
      <c r="F166" s="1">
        <v>250</v>
      </c>
      <c r="G166" s="1">
        <v>991</v>
      </c>
      <c r="H166" s="1">
        <f>Int_breweries[[#This Row],[PLANT_COST]]*Int_breweries[[#This Row],[QUANTITY]]</f>
        <v>168470</v>
      </c>
      <c r="I166" s="1">
        <v>247750</v>
      </c>
      <c r="J166" s="1">
        <v>79280</v>
      </c>
      <c r="K166" s="1" t="s">
        <v>32</v>
      </c>
      <c r="L166" t="s">
        <v>15</v>
      </c>
      <c r="M166" s="1" t="s">
        <v>41</v>
      </c>
      <c r="N166" s="1">
        <v>2018</v>
      </c>
      <c r="O166" t="str" cm="1">
        <f t="array" ref="O166">_xlfn.IFS(OR($K166="Ghana", $K166="Nigeria"), "Anglophone", OR($K166="Togo", $K166="Benin", $K166="Senegal"), "Francophone")</f>
        <v>Francophone</v>
      </c>
      <c r="P166" s="1" t="str">
        <f>LEFT(Int_breweries[[#This Row],[MONTHS]], 3)</f>
        <v>Sep</v>
      </c>
    </row>
    <row r="167" spans="1:16" ht="12.5" x14ac:dyDescent="0.25">
      <c r="A167" s="1">
        <v>10266</v>
      </c>
      <c r="B167" s="1" t="s">
        <v>51</v>
      </c>
      <c r="C167" s="1" t="s">
        <v>52</v>
      </c>
      <c r="D167" t="s">
        <v>67</v>
      </c>
      <c r="E167" s="1">
        <v>150</v>
      </c>
      <c r="F167" s="1">
        <v>200</v>
      </c>
      <c r="G167" s="1">
        <v>792</v>
      </c>
      <c r="H167" s="1">
        <f>Int_breweries[[#This Row],[PLANT_COST]]*Int_breweries[[#This Row],[QUANTITY]]</f>
        <v>118800</v>
      </c>
      <c r="I167" s="1">
        <v>158400</v>
      </c>
      <c r="J167" s="1">
        <v>39600</v>
      </c>
      <c r="K167" s="1" t="s">
        <v>14</v>
      </c>
      <c r="L167" t="s">
        <v>58</v>
      </c>
      <c r="M167" s="1" t="s">
        <v>44</v>
      </c>
      <c r="N167" s="1">
        <v>2019</v>
      </c>
      <c r="O167" t="str" cm="1">
        <f t="array" ref="O167">_xlfn.IFS(OR($K167="Ghana", $K167="Nigeria"), "Anglophone", OR($K167="Togo", $K167="Benin", $K167="Senegal"), "Francophone")</f>
        <v>Anglophone</v>
      </c>
      <c r="P167" s="1" t="str">
        <f>LEFT(Int_breweries[[#This Row],[MONTHS]], 3)</f>
        <v>Oct</v>
      </c>
    </row>
    <row r="168" spans="1:16" ht="12.5" x14ac:dyDescent="0.25">
      <c r="A168" s="1">
        <v>10267</v>
      </c>
      <c r="B168" s="1" t="s">
        <v>49</v>
      </c>
      <c r="C168" s="1" t="s">
        <v>50</v>
      </c>
      <c r="D168" t="s">
        <v>68</v>
      </c>
      <c r="E168" s="1">
        <v>80</v>
      </c>
      <c r="F168" s="1">
        <v>150</v>
      </c>
      <c r="G168" s="1">
        <v>898</v>
      </c>
      <c r="H168" s="1">
        <f>Int_breweries[[#This Row],[PLANT_COST]]*Int_breweries[[#This Row],[QUANTITY]]</f>
        <v>71840</v>
      </c>
      <c r="I168" s="1">
        <v>134700</v>
      </c>
      <c r="J168" s="1">
        <v>62860</v>
      </c>
      <c r="K168" s="1" t="s">
        <v>19</v>
      </c>
      <c r="L168" t="s">
        <v>59</v>
      </c>
      <c r="M168" s="1" t="s">
        <v>47</v>
      </c>
      <c r="N168" s="1">
        <v>2019</v>
      </c>
      <c r="O168" t="str" cm="1">
        <f t="array" ref="O168">_xlfn.IFS(OR($K168="Ghana", $K168="Nigeria"), "Anglophone", OR($K168="Togo", $K168="Benin", $K168="Senegal"), "Francophone")</f>
        <v>Anglophone</v>
      </c>
      <c r="P168" s="1" t="str">
        <f>LEFT(Int_breweries[[#This Row],[MONTHS]], 3)</f>
        <v>Nov</v>
      </c>
    </row>
    <row r="169" spans="1:16" ht="12.5" x14ac:dyDescent="0.25">
      <c r="A169" s="1">
        <v>10268</v>
      </c>
      <c r="B169" s="1" t="s">
        <v>45</v>
      </c>
      <c r="C169" s="1" t="s">
        <v>46</v>
      </c>
      <c r="D169" t="s">
        <v>69</v>
      </c>
      <c r="E169" s="1">
        <v>90</v>
      </c>
      <c r="F169" s="1">
        <v>150</v>
      </c>
      <c r="G169" s="1">
        <v>945</v>
      </c>
      <c r="H169" s="1">
        <f>Int_breweries[[#This Row],[PLANT_COST]]*Int_breweries[[#This Row],[QUANTITY]]</f>
        <v>85050</v>
      </c>
      <c r="I169" s="1">
        <v>141750</v>
      </c>
      <c r="J169" s="1">
        <v>56700</v>
      </c>
      <c r="K169" s="1" t="s">
        <v>24</v>
      </c>
      <c r="L169" t="s">
        <v>60</v>
      </c>
      <c r="M169" s="1" t="s">
        <v>48</v>
      </c>
      <c r="N169" s="1">
        <v>2019</v>
      </c>
      <c r="O169" t="str" cm="1">
        <f t="array" ref="O169">_xlfn.IFS(OR($K169="Ghana", $K169="Nigeria"), "Anglophone", OR($K169="Togo", $K169="Benin", $K169="Senegal"), "Francophone")</f>
        <v>Francophone</v>
      </c>
      <c r="P169" s="1" t="str">
        <f>LEFT(Int_breweries[[#This Row],[MONTHS]], 3)</f>
        <v>Dec</v>
      </c>
    </row>
    <row r="170" spans="1:16" ht="12.5" x14ac:dyDescent="0.25">
      <c r="A170" s="1">
        <v>10269</v>
      </c>
      <c r="B170" s="1" t="s">
        <v>17</v>
      </c>
      <c r="C170" s="1" t="s">
        <v>18</v>
      </c>
      <c r="D170" t="s">
        <v>63</v>
      </c>
      <c r="E170" s="1">
        <v>150</v>
      </c>
      <c r="F170" s="1">
        <v>200</v>
      </c>
      <c r="G170" s="1">
        <v>814</v>
      </c>
      <c r="H170" s="1">
        <f>Int_breweries[[#This Row],[PLANT_COST]]*Int_breweries[[#This Row],[QUANTITY]]</f>
        <v>122100</v>
      </c>
      <c r="I170" s="1">
        <v>162800</v>
      </c>
      <c r="J170" s="1">
        <v>40700</v>
      </c>
      <c r="K170" s="1" t="s">
        <v>28</v>
      </c>
      <c r="L170" t="s">
        <v>61</v>
      </c>
      <c r="M170" s="1" t="s">
        <v>16</v>
      </c>
      <c r="N170" s="1">
        <v>2019</v>
      </c>
      <c r="O170" t="str" cm="1">
        <f t="array" ref="O170">_xlfn.IFS(OR($K170="Ghana", $K170="Nigeria"), "Anglophone", OR($K170="Togo", $K170="Benin", $K170="Senegal"), "Francophone")</f>
        <v>Francophone</v>
      </c>
      <c r="P170" s="1" t="str">
        <f>LEFT(Int_breweries[[#This Row],[MONTHS]], 3)</f>
        <v>Jan</v>
      </c>
    </row>
    <row r="171" spans="1:16" ht="12.5" x14ac:dyDescent="0.25">
      <c r="A171" s="1">
        <v>10270</v>
      </c>
      <c r="B171" s="1" t="s">
        <v>49</v>
      </c>
      <c r="C171" s="1" t="s">
        <v>50</v>
      </c>
      <c r="D171" t="s">
        <v>64</v>
      </c>
      <c r="E171" s="1">
        <v>250</v>
      </c>
      <c r="F171" s="1">
        <v>500</v>
      </c>
      <c r="G171" s="1">
        <v>863</v>
      </c>
      <c r="H171" s="1">
        <f>Int_breweries[[#This Row],[PLANT_COST]]*Int_breweries[[#This Row],[QUANTITY]]</f>
        <v>215750</v>
      </c>
      <c r="I171" s="1">
        <v>431500</v>
      </c>
      <c r="J171" s="1">
        <v>215750</v>
      </c>
      <c r="K171" s="1" t="s">
        <v>32</v>
      </c>
      <c r="L171" t="s">
        <v>62</v>
      </c>
      <c r="M171" s="1" t="s">
        <v>21</v>
      </c>
      <c r="N171" s="1">
        <v>2018</v>
      </c>
      <c r="O171" t="str" cm="1">
        <f t="array" ref="O171">_xlfn.IFS(OR($K171="Ghana", $K171="Nigeria"), "Anglophone", OR($K171="Togo", $K171="Benin", $K171="Senegal"), "Francophone")</f>
        <v>Francophone</v>
      </c>
      <c r="P171" s="1" t="str">
        <f>LEFT(Int_breweries[[#This Row],[MONTHS]], 3)</f>
        <v>Feb</v>
      </c>
    </row>
    <row r="172" spans="1:16" ht="12.5" x14ac:dyDescent="0.25">
      <c r="A172" s="1">
        <v>10271</v>
      </c>
      <c r="B172" s="1" t="s">
        <v>26</v>
      </c>
      <c r="C172" s="1" t="s">
        <v>27</v>
      </c>
      <c r="D172" t="s">
        <v>65</v>
      </c>
      <c r="E172" s="1">
        <v>180</v>
      </c>
      <c r="F172" s="1">
        <v>450</v>
      </c>
      <c r="G172" s="1">
        <v>829</v>
      </c>
      <c r="H172" s="1">
        <f>Int_breweries[[#This Row],[PLANT_COST]]*Int_breweries[[#This Row],[QUANTITY]]</f>
        <v>149220</v>
      </c>
      <c r="I172" s="1">
        <v>373050</v>
      </c>
      <c r="J172" s="1">
        <v>223830</v>
      </c>
      <c r="K172" s="1" t="s">
        <v>14</v>
      </c>
      <c r="L172" t="s">
        <v>15</v>
      </c>
      <c r="M172" s="1" t="s">
        <v>25</v>
      </c>
      <c r="N172" s="1">
        <v>2019</v>
      </c>
      <c r="O172" t="str" cm="1">
        <f t="array" ref="O172">_xlfn.IFS(OR($K172="Ghana", $K172="Nigeria"), "Anglophone", OR($K172="Togo", $K172="Benin", $K172="Senegal"), "Francophone")</f>
        <v>Anglophone</v>
      </c>
      <c r="P172" s="1" t="str">
        <f>LEFT(Int_breweries[[#This Row],[MONTHS]], 3)</f>
        <v>Mar</v>
      </c>
    </row>
    <row r="173" spans="1:16" ht="12.5" x14ac:dyDescent="0.25">
      <c r="A173" s="1">
        <v>10272</v>
      </c>
      <c r="B173" s="1" t="s">
        <v>22</v>
      </c>
      <c r="C173" s="1" t="s">
        <v>23</v>
      </c>
      <c r="D173" t="s">
        <v>66</v>
      </c>
      <c r="E173" s="1">
        <v>170</v>
      </c>
      <c r="F173" s="1">
        <v>250</v>
      </c>
      <c r="G173" s="1">
        <v>747</v>
      </c>
      <c r="H173" s="1">
        <f>Int_breweries[[#This Row],[PLANT_COST]]*Int_breweries[[#This Row],[QUANTITY]]</f>
        <v>126990</v>
      </c>
      <c r="I173" s="1">
        <v>186750</v>
      </c>
      <c r="J173" s="1">
        <v>59760</v>
      </c>
      <c r="K173" s="1" t="s">
        <v>19</v>
      </c>
      <c r="L173" t="s">
        <v>58</v>
      </c>
      <c r="M173" s="1" t="s">
        <v>29</v>
      </c>
      <c r="N173" s="1">
        <v>2017</v>
      </c>
      <c r="O173" t="str" cm="1">
        <f t="array" ref="O173">_xlfn.IFS(OR($K173="Ghana", $K173="Nigeria"), "Anglophone", OR($K173="Togo", $K173="Benin", $K173="Senegal"), "Francophone")</f>
        <v>Anglophone</v>
      </c>
      <c r="P173" s="1" t="str">
        <f>LEFT(Int_breweries[[#This Row],[MONTHS]], 3)</f>
        <v>Apr</v>
      </c>
    </row>
    <row r="174" spans="1:16" ht="12.5" x14ac:dyDescent="0.25">
      <c r="A174" s="1">
        <v>10273</v>
      </c>
      <c r="B174" s="1" t="s">
        <v>12</v>
      </c>
      <c r="C174" s="1" t="s">
        <v>13</v>
      </c>
      <c r="D174" t="s">
        <v>67</v>
      </c>
      <c r="E174" s="1">
        <v>150</v>
      </c>
      <c r="F174" s="1">
        <v>200</v>
      </c>
      <c r="G174" s="1">
        <v>961</v>
      </c>
      <c r="H174" s="1">
        <f>Int_breweries[[#This Row],[PLANT_COST]]*Int_breweries[[#This Row],[QUANTITY]]</f>
        <v>144150</v>
      </c>
      <c r="I174" s="1">
        <v>192200</v>
      </c>
      <c r="J174" s="1">
        <v>48050</v>
      </c>
      <c r="K174" s="1" t="s">
        <v>24</v>
      </c>
      <c r="L174" t="s">
        <v>59</v>
      </c>
      <c r="M174" s="1" t="s">
        <v>33</v>
      </c>
      <c r="N174" s="1">
        <v>2018</v>
      </c>
      <c r="O174" t="str" cm="1">
        <f t="array" ref="O174">_xlfn.IFS(OR($K174="Ghana", $K174="Nigeria"), "Anglophone", OR($K174="Togo", $K174="Benin", $K174="Senegal"), "Francophone")</f>
        <v>Francophone</v>
      </c>
      <c r="P174" s="1" t="str">
        <f>LEFT(Int_breweries[[#This Row],[MONTHS]], 3)</f>
        <v>May</v>
      </c>
    </row>
    <row r="175" spans="1:16" ht="12.5" x14ac:dyDescent="0.25">
      <c r="A175" s="1">
        <v>10274</v>
      </c>
      <c r="B175" s="1" t="s">
        <v>30</v>
      </c>
      <c r="C175" s="1" t="s">
        <v>31</v>
      </c>
      <c r="D175" t="s">
        <v>68</v>
      </c>
      <c r="E175" s="1">
        <v>80</v>
      </c>
      <c r="F175" s="1">
        <v>150</v>
      </c>
      <c r="G175" s="1">
        <v>803</v>
      </c>
      <c r="H175" s="1">
        <f>Int_breweries[[#This Row],[PLANT_COST]]*Int_breweries[[#This Row],[QUANTITY]]</f>
        <v>64240</v>
      </c>
      <c r="I175" s="1">
        <v>120450</v>
      </c>
      <c r="J175" s="1">
        <v>56210</v>
      </c>
      <c r="K175" s="1" t="s">
        <v>28</v>
      </c>
      <c r="L175" t="s">
        <v>60</v>
      </c>
      <c r="M175" s="1" t="s">
        <v>34</v>
      </c>
      <c r="N175" s="1">
        <v>2019</v>
      </c>
      <c r="O175" t="str" cm="1">
        <f t="array" ref="O175">_xlfn.IFS(OR($K175="Ghana", $K175="Nigeria"), "Anglophone", OR($K175="Togo", $K175="Benin", $K175="Senegal"), "Francophone")</f>
        <v>Francophone</v>
      </c>
      <c r="P175" s="1" t="str">
        <f>LEFT(Int_breweries[[#This Row],[MONTHS]], 3)</f>
        <v>Jun</v>
      </c>
    </row>
    <row r="176" spans="1:16" ht="12.5" x14ac:dyDescent="0.25">
      <c r="A176" s="1">
        <v>10275</v>
      </c>
      <c r="B176" s="1" t="s">
        <v>42</v>
      </c>
      <c r="C176" s="1" t="s">
        <v>43</v>
      </c>
      <c r="D176" t="s">
        <v>69</v>
      </c>
      <c r="E176" s="1">
        <v>90</v>
      </c>
      <c r="F176" s="1">
        <v>150</v>
      </c>
      <c r="G176" s="1">
        <v>875</v>
      </c>
      <c r="H176" s="1">
        <f>Int_breweries[[#This Row],[PLANT_COST]]*Int_breweries[[#This Row],[QUANTITY]]</f>
        <v>78750</v>
      </c>
      <c r="I176" s="1">
        <v>131250</v>
      </c>
      <c r="J176" s="1">
        <v>52500</v>
      </c>
      <c r="K176" s="1" t="s">
        <v>32</v>
      </c>
      <c r="L176" t="s">
        <v>61</v>
      </c>
      <c r="M176" s="1" t="s">
        <v>37</v>
      </c>
      <c r="N176" s="1">
        <v>2017</v>
      </c>
      <c r="O176" t="str" cm="1">
        <f t="array" ref="O176">_xlfn.IFS(OR($K176="Ghana", $K176="Nigeria"), "Anglophone", OR($K176="Togo", $K176="Benin", $K176="Senegal"), "Francophone")</f>
        <v>Francophone</v>
      </c>
      <c r="P176" s="1" t="str">
        <f>LEFT(Int_breweries[[#This Row],[MONTHS]], 3)</f>
        <v>Jul</v>
      </c>
    </row>
    <row r="177" spans="1:16" ht="12.5" x14ac:dyDescent="0.25">
      <c r="A177" s="1">
        <v>10276</v>
      </c>
      <c r="B177" s="1" t="s">
        <v>17</v>
      </c>
      <c r="C177" s="1" t="s">
        <v>18</v>
      </c>
      <c r="D177" t="s">
        <v>63</v>
      </c>
      <c r="E177" s="1">
        <v>150</v>
      </c>
      <c r="F177" s="1">
        <v>200</v>
      </c>
      <c r="G177" s="1">
        <v>750</v>
      </c>
      <c r="H177" s="1">
        <f>Int_breweries[[#This Row],[PLANT_COST]]*Int_breweries[[#This Row],[QUANTITY]]</f>
        <v>112500</v>
      </c>
      <c r="I177" s="1">
        <v>150000</v>
      </c>
      <c r="J177" s="1">
        <v>37500</v>
      </c>
      <c r="K177" s="1" t="s">
        <v>14</v>
      </c>
      <c r="L177" t="s">
        <v>62</v>
      </c>
      <c r="M177" s="1" t="s">
        <v>38</v>
      </c>
      <c r="N177" s="1">
        <v>2018</v>
      </c>
      <c r="O177" t="str" cm="1">
        <f t="array" ref="O177">_xlfn.IFS(OR($K177="Ghana", $K177="Nigeria"), "Anglophone", OR($K177="Togo", $K177="Benin", $K177="Senegal"), "Francophone")</f>
        <v>Anglophone</v>
      </c>
      <c r="P177" s="1" t="str">
        <f>LEFT(Int_breweries[[#This Row],[MONTHS]], 3)</f>
        <v>Aug</v>
      </c>
    </row>
    <row r="178" spans="1:16" ht="12.5" x14ac:dyDescent="0.25">
      <c r="A178" s="1">
        <v>10277</v>
      </c>
      <c r="B178" s="1" t="s">
        <v>17</v>
      </c>
      <c r="C178" s="1" t="s">
        <v>18</v>
      </c>
      <c r="D178" t="s">
        <v>64</v>
      </c>
      <c r="E178" s="1">
        <v>250</v>
      </c>
      <c r="F178" s="1">
        <v>500</v>
      </c>
      <c r="G178" s="1">
        <v>850</v>
      </c>
      <c r="H178" s="1">
        <f>Int_breweries[[#This Row],[PLANT_COST]]*Int_breweries[[#This Row],[QUANTITY]]</f>
        <v>212500</v>
      </c>
      <c r="I178" s="1">
        <v>425000</v>
      </c>
      <c r="J178" s="1">
        <v>212500</v>
      </c>
      <c r="K178" s="1" t="s">
        <v>19</v>
      </c>
      <c r="L178" t="s">
        <v>15</v>
      </c>
      <c r="M178" s="1" t="s">
        <v>41</v>
      </c>
      <c r="N178" s="1">
        <v>2017</v>
      </c>
      <c r="O178" t="str" cm="1">
        <f t="array" ref="O178">_xlfn.IFS(OR($K178="Ghana", $K178="Nigeria"), "Anglophone", OR($K178="Togo", $K178="Benin", $K178="Senegal"), "Francophone")</f>
        <v>Anglophone</v>
      </c>
      <c r="P178" s="1" t="str">
        <f>LEFT(Int_breweries[[#This Row],[MONTHS]], 3)</f>
        <v>Sep</v>
      </c>
    </row>
    <row r="179" spans="1:16" ht="12.5" x14ac:dyDescent="0.25">
      <c r="A179" s="1">
        <v>10278</v>
      </c>
      <c r="B179" s="1" t="s">
        <v>51</v>
      </c>
      <c r="C179" s="1" t="s">
        <v>52</v>
      </c>
      <c r="D179" t="s">
        <v>65</v>
      </c>
      <c r="E179" s="1">
        <v>180</v>
      </c>
      <c r="F179" s="1">
        <v>450</v>
      </c>
      <c r="G179" s="1">
        <v>710</v>
      </c>
      <c r="H179" s="1">
        <f>Int_breweries[[#This Row],[PLANT_COST]]*Int_breweries[[#This Row],[QUANTITY]]</f>
        <v>127800</v>
      </c>
      <c r="I179" s="1">
        <v>319500</v>
      </c>
      <c r="J179" s="1">
        <v>191700</v>
      </c>
      <c r="K179" s="1" t="s">
        <v>24</v>
      </c>
      <c r="L179" t="s">
        <v>58</v>
      </c>
      <c r="M179" s="1" t="s">
        <v>44</v>
      </c>
      <c r="N179" s="1">
        <v>2018</v>
      </c>
      <c r="O179" t="str" cm="1">
        <f t="array" ref="O179">_xlfn.IFS(OR($K179="Ghana", $K179="Nigeria"), "Anglophone", OR($K179="Togo", $K179="Benin", $K179="Senegal"), "Francophone")</f>
        <v>Francophone</v>
      </c>
      <c r="P179" s="1" t="str">
        <f>LEFT(Int_breweries[[#This Row],[MONTHS]], 3)</f>
        <v>Oct</v>
      </c>
    </row>
    <row r="180" spans="1:16" ht="12.5" x14ac:dyDescent="0.25">
      <c r="A180" s="1">
        <v>10279</v>
      </c>
      <c r="B180" s="1" t="s">
        <v>26</v>
      </c>
      <c r="C180" s="1" t="s">
        <v>27</v>
      </c>
      <c r="D180" t="s">
        <v>66</v>
      </c>
      <c r="E180" s="1">
        <v>170</v>
      </c>
      <c r="F180" s="1">
        <v>250</v>
      </c>
      <c r="G180" s="1">
        <v>881</v>
      </c>
      <c r="H180" s="1">
        <f>Int_breweries[[#This Row],[PLANT_COST]]*Int_breweries[[#This Row],[QUANTITY]]</f>
        <v>149770</v>
      </c>
      <c r="I180" s="1">
        <v>220250</v>
      </c>
      <c r="J180" s="1">
        <v>70480</v>
      </c>
      <c r="K180" s="1" t="s">
        <v>28</v>
      </c>
      <c r="L180" t="s">
        <v>59</v>
      </c>
      <c r="M180" s="1" t="s">
        <v>47</v>
      </c>
      <c r="N180" s="1">
        <v>2017</v>
      </c>
      <c r="O180" t="str" cm="1">
        <f t="array" ref="O180">_xlfn.IFS(OR($K180="Ghana", $K180="Nigeria"), "Anglophone", OR($K180="Togo", $K180="Benin", $K180="Senegal"), "Francophone")</f>
        <v>Francophone</v>
      </c>
      <c r="P180" s="1" t="str">
        <f>LEFT(Int_breweries[[#This Row],[MONTHS]], 3)</f>
        <v>Nov</v>
      </c>
    </row>
    <row r="181" spans="1:16" ht="12.5" x14ac:dyDescent="0.25">
      <c r="A181" s="1">
        <v>10280</v>
      </c>
      <c r="B181" s="1" t="s">
        <v>39</v>
      </c>
      <c r="C181" s="1" t="s">
        <v>40</v>
      </c>
      <c r="D181" t="s">
        <v>67</v>
      </c>
      <c r="E181" s="1">
        <v>150</v>
      </c>
      <c r="F181" s="1">
        <v>200</v>
      </c>
      <c r="G181" s="1">
        <v>777</v>
      </c>
      <c r="H181" s="1">
        <f>Int_breweries[[#This Row],[PLANT_COST]]*Int_breweries[[#This Row],[QUANTITY]]</f>
        <v>116550</v>
      </c>
      <c r="I181" s="1">
        <v>155400</v>
      </c>
      <c r="J181" s="1">
        <v>38850</v>
      </c>
      <c r="K181" s="1" t="s">
        <v>32</v>
      </c>
      <c r="L181" t="s">
        <v>60</v>
      </c>
      <c r="M181" s="1" t="s">
        <v>48</v>
      </c>
      <c r="N181" s="1">
        <v>2018</v>
      </c>
      <c r="O181" t="str" cm="1">
        <f t="array" ref="O181">_xlfn.IFS(OR($K181="Ghana", $K181="Nigeria"), "Anglophone", OR($K181="Togo", $K181="Benin", $K181="Senegal"), "Francophone")</f>
        <v>Francophone</v>
      </c>
      <c r="P181" s="1" t="str">
        <f>LEFT(Int_breweries[[#This Row],[MONTHS]], 3)</f>
        <v>Dec</v>
      </c>
    </row>
    <row r="182" spans="1:16" ht="12.5" x14ac:dyDescent="0.25">
      <c r="A182" s="1">
        <v>10281</v>
      </c>
      <c r="B182" s="1" t="s">
        <v>51</v>
      </c>
      <c r="C182" s="1" t="s">
        <v>52</v>
      </c>
      <c r="D182" t="s">
        <v>68</v>
      </c>
      <c r="E182" s="1">
        <v>80</v>
      </c>
      <c r="F182" s="1">
        <v>150</v>
      </c>
      <c r="G182" s="1">
        <v>708</v>
      </c>
      <c r="H182" s="1">
        <f>Int_breweries[[#This Row],[PLANT_COST]]*Int_breweries[[#This Row],[QUANTITY]]</f>
        <v>56640</v>
      </c>
      <c r="I182" s="1">
        <v>106200</v>
      </c>
      <c r="J182" s="1">
        <v>49560</v>
      </c>
      <c r="K182" s="1" t="s">
        <v>14</v>
      </c>
      <c r="L182" t="s">
        <v>61</v>
      </c>
      <c r="M182" s="1" t="s">
        <v>16</v>
      </c>
      <c r="N182" s="1">
        <v>2017</v>
      </c>
      <c r="O182" t="str" cm="1">
        <f t="array" ref="O182">_xlfn.IFS(OR($K182="Ghana", $K182="Nigeria"), "Anglophone", OR($K182="Togo", $K182="Benin", $K182="Senegal"), "Francophone")</f>
        <v>Anglophone</v>
      </c>
      <c r="P182" s="1" t="str">
        <f>LEFT(Int_breweries[[#This Row],[MONTHS]], 3)</f>
        <v>Jan</v>
      </c>
    </row>
    <row r="183" spans="1:16" ht="12.5" x14ac:dyDescent="0.25">
      <c r="A183" s="1">
        <v>10282</v>
      </c>
      <c r="B183" s="1" t="s">
        <v>22</v>
      </c>
      <c r="C183" s="1" t="s">
        <v>23</v>
      </c>
      <c r="D183" t="s">
        <v>69</v>
      </c>
      <c r="E183" s="1">
        <v>90</v>
      </c>
      <c r="F183" s="1">
        <v>150</v>
      </c>
      <c r="G183" s="1">
        <v>996</v>
      </c>
      <c r="H183" s="1">
        <f>Int_breweries[[#This Row],[PLANT_COST]]*Int_breweries[[#This Row],[QUANTITY]]</f>
        <v>89640</v>
      </c>
      <c r="I183" s="1">
        <v>149400</v>
      </c>
      <c r="J183" s="1">
        <v>59760</v>
      </c>
      <c r="K183" s="1" t="s">
        <v>19</v>
      </c>
      <c r="L183" t="s">
        <v>62</v>
      </c>
      <c r="M183" s="1" t="s">
        <v>21</v>
      </c>
      <c r="N183" s="1">
        <v>2019</v>
      </c>
      <c r="O183" t="str" cm="1">
        <f t="array" ref="O183">_xlfn.IFS(OR($K183="Ghana", $K183="Nigeria"), "Anglophone", OR($K183="Togo", $K183="Benin", $K183="Senegal"), "Francophone")</f>
        <v>Anglophone</v>
      </c>
      <c r="P183" s="1" t="str">
        <f>LEFT(Int_breweries[[#This Row],[MONTHS]], 3)</f>
        <v>Feb</v>
      </c>
    </row>
    <row r="184" spans="1:16" ht="12.5" x14ac:dyDescent="0.25">
      <c r="A184" s="1">
        <v>10283</v>
      </c>
      <c r="B184" s="1" t="s">
        <v>17</v>
      </c>
      <c r="C184" s="1" t="s">
        <v>18</v>
      </c>
      <c r="D184" t="s">
        <v>63</v>
      </c>
      <c r="E184" s="1">
        <v>150</v>
      </c>
      <c r="F184" s="1">
        <v>200</v>
      </c>
      <c r="G184" s="1">
        <v>870</v>
      </c>
      <c r="H184" s="1">
        <f>Int_breweries[[#This Row],[PLANT_COST]]*Int_breweries[[#This Row],[QUANTITY]]</f>
        <v>130500</v>
      </c>
      <c r="I184" s="1">
        <v>174000</v>
      </c>
      <c r="J184" s="1">
        <v>43500</v>
      </c>
      <c r="K184" s="1" t="s">
        <v>24</v>
      </c>
      <c r="L184" t="s">
        <v>15</v>
      </c>
      <c r="M184" s="1" t="s">
        <v>25</v>
      </c>
      <c r="N184" s="1">
        <v>2019</v>
      </c>
      <c r="O184" t="str" cm="1">
        <f t="array" ref="O184">_xlfn.IFS(OR($K184="Ghana", $K184="Nigeria"), "Anglophone", OR($K184="Togo", $K184="Benin", $K184="Senegal"), "Francophone")</f>
        <v>Francophone</v>
      </c>
      <c r="P184" s="1" t="str">
        <f>LEFT(Int_breweries[[#This Row],[MONTHS]], 3)</f>
        <v>Mar</v>
      </c>
    </row>
    <row r="185" spans="1:16" ht="12.5" x14ac:dyDescent="0.25">
      <c r="A185" s="1">
        <v>10284</v>
      </c>
      <c r="B185" s="1" t="s">
        <v>22</v>
      </c>
      <c r="C185" s="1" t="s">
        <v>23</v>
      </c>
      <c r="D185" t="s">
        <v>64</v>
      </c>
      <c r="E185" s="1">
        <v>250</v>
      </c>
      <c r="F185" s="1">
        <v>500</v>
      </c>
      <c r="G185" s="1">
        <v>972</v>
      </c>
      <c r="H185" s="1">
        <f>Int_breweries[[#This Row],[PLANT_COST]]*Int_breweries[[#This Row],[QUANTITY]]</f>
        <v>243000</v>
      </c>
      <c r="I185" s="1">
        <v>486000</v>
      </c>
      <c r="J185" s="1">
        <v>243000</v>
      </c>
      <c r="K185" s="1" t="s">
        <v>28</v>
      </c>
      <c r="L185" t="s">
        <v>58</v>
      </c>
      <c r="M185" s="1" t="s">
        <v>29</v>
      </c>
      <c r="N185" s="1">
        <v>2019</v>
      </c>
      <c r="O185" t="str" cm="1">
        <f t="array" ref="O185">_xlfn.IFS(OR($K185="Ghana", $K185="Nigeria"), "Anglophone", OR($K185="Togo", $K185="Benin", $K185="Senegal"), "Francophone")</f>
        <v>Francophone</v>
      </c>
      <c r="P185" s="1" t="str">
        <f>LEFT(Int_breweries[[#This Row],[MONTHS]], 3)</f>
        <v>Apr</v>
      </c>
    </row>
    <row r="186" spans="1:16" ht="12.5" x14ac:dyDescent="0.25">
      <c r="A186" s="1">
        <v>10285</v>
      </c>
      <c r="B186" s="1" t="s">
        <v>35</v>
      </c>
      <c r="C186" s="1" t="s">
        <v>36</v>
      </c>
      <c r="D186" t="s">
        <v>65</v>
      </c>
      <c r="E186" s="1">
        <v>180</v>
      </c>
      <c r="F186" s="1">
        <v>450</v>
      </c>
      <c r="G186" s="1">
        <v>989</v>
      </c>
      <c r="H186" s="1">
        <f>Int_breweries[[#This Row],[PLANT_COST]]*Int_breweries[[#This Row],[QUANTITY]]</f>
        <v>178020</v>
      </c>
      <c r="I186" s="1">
        <v>445050</v>
      </c>
      <c r="J186" s="1">
        <v>267030</v>
      </c>
      <c r="K186" s="1" t="s">
        <v>32</v>
      </c>
      <c r="L186" t="s">
        <v>59</v>
      </c>
      <c r="M186" s="1" t="s">
        <v>33</v>
      </c>
      <c r="N186" s="1">
        <v>2018</v>
      </c>
      <c r="O186" t="str" cm="1">
        <f t="array" ref="O186">_xlfn.IFS(OR($K186="Ghana", $K186="Nigeria"), "Anglophone", OR($K186="Togo", $K186="Benin", $K186="Senegal"), "Francophone")</f>
        <v>Francophone</v>
      </c>
      <c r="P186" s="1" t="str">
        <f>LEFT(Int_breweries[[#This Row],[MONTHS]], 3)</f>
        <v>May</v>
      </c>
    </row>
    <row r="187" spans="1:16" ht="12.5" x14ac:dyDescent="0.25">
      <c r="A187" s="1">
        <v>10286</v>
      </c>
      <c r="B187" s="1" t="s">
        <v>30</v>
      </c>
      <c r="C187" s="1" t="s">
        <v>31</v>
      </c>
      <c r="D187" t="s">
        <v>66</v>
      </c>
      <c r="E187" s="1">
        <v>170</v>
      </c>
      <c r="F187" s="1">
        <v>250</v>
      </c>
      <c r="G187" s="1">
        <v>936</v>
      </c>
      <c r="H187" s="1">
        <f>Int_breweries[[#This Row],[PLANT_COST]]*Int_breweries[[#This Row],[QUANTITY]]</f>
        <v>159120</v>
      </c>
      <c r="I187" s="1">
        <v>234000</v>
      </c>
      <c r="J187" s="1">
        <v>74880</v>
      </c>
      <c r="K187" s="1" t="s">
        <v>14</v>
      </c>
      <c r="L187" t="s">
        <v>60</v>
      </c>
      <c r="M187" s="1" t="s">
        <v>34</v>
      </c>
      <c r="N187" s="1">
        <v>2018</v>
      </c>
      <c r="O187" t="str" cm="1">
        <f t="array" ref="O187">_xlfn.IFS(OR($K187="Ghana", $K187="Nigeria"), "Anglophone", OR($K187="Togo", $K187="Benin", $K187="Senegal"), "Francophone")</f>
        <v>Anglophone</v>
      </c>
      <c r="P187" s="1" t="str">
        <f>LEFT(Int_breweries[[#This Row],[MONTHS]], 3)</f>
        <v>Jun</v>
      </c>
    </row>
    <row r="188" spans="1:16" ht="12.5" x14ac:dyDescent="0.25">
      <c r="A188" s="1">
        <v>10287</v>
      </c>
      <c r="B188" s="1" t="s">
        <v>12</v>
      </c>
      <c r="C188" s="1" t="s">
        <v>13</v>
      </c>
      <c r="D188" t="s">
        <v>67</v>
      </c>
      <c r="E188" s="1">
        <v>150</v>
      </c>
      <c r="F188" s="1">
        <v>200</v>
      </c>
      <c r="G188" s="1">
        <v>1000</v>
      </c>
      <c r="H188" s="1">
        <f>Int_breweries[[#This Row],[PLANT_COST]]*Int_breweries[[#This Row],[QUANTITY]]</f>
        <v>150000</v>
      </c>
      <c r="I188" s="1">
        <v>200000</v>
      </c>
      <c r="J188" s="1">
        <v>50000</v>
      </c>
      <c r="K188" s="1" t="s">
        <v>19</v>
      </c>
      <c r="L188" t="s">
        <v>61</v>
      </c>
      <c r="M188" s="1" t="s">
        <v>37</v>
      </c>
      <c r="N188" s="1">
        <v>2017</v>
      </c>
      <c r="O188" t="str" cm="1">
        <f t="array" ref="O188">_xlfn.IFS(OR($K188="Ghana", $K188="Nigeria"), "Anglophone", OR($K188="Togo", $K188="Benin", $K188="Senegal"), "Francophone")</f>
        <v>Anglophone</v>
      </c>
      <c r="P188" s="1" t="str">
        <f>LEFT(Int_breweries[[#This Row],[MONTHS]], 3)</f>
        <v>Jul</v>
      </c>
    </row>
    <row r="189" spans="1:16" ht="12.5" x14ac:dyDescent="0.25">
      <c r="A189" s="1">
        <v>10288</v>
      </c>
      <c r="B189" s="1" t="s">
        <v>12</v>
      </c>
      <c r="C189" s="1" t="s">
        <v>13</v>
      </c>
      <c r="D189" t="s">
        <v>68</v>
      </c>
      <c r="E189" s="1">
        <v>80</v>
      </c>
      <c r="F189" s="1">
        <v>150</v>
      </c>
      <c r="G189" s="1">
        <v>947</v>
      </c>
      <c r="H189" s="1">
        <f>Int_breweries[[#This Row],[PLANT_COST]]*Int_breweries[[#This Row],[QUANTITY]]</f>
        <v>75760</v>
      </c>
      <c r="I189" s="1">
        <v>142050</v>
      </c>
      <c r="J189" s="1">
        <v>66290</v>
      </c>
      <c r="K189" s="1" t="s">
        <v>24</v>
      </c>
      <c r="L189" t="s">
        <v>62</v>
      </c>
      <c r="M189" s="1" t="s">
        <v>38</v>
      </c>
      <c r="N189" s="1">
        <v>2018</v>
      </c>
      <c r="O189" t="str" cm="1">
        <f t="array" ref="O189">_xlfn.IFS(OR($K189="Ghana", $K189="Nigeria"), "Anglophone", OR($K189="Togo", $K189="Benin", $K189="Senegal"), "Francophone")</f>
        <v>Francophone</v>
      </c>
      <c r="P189" s="1" t="str">
        <f>LEFT(Int_breweries[[#This Row],[MONTHS]], 3)</f>
        <v>Aug</v>
      </c>
    </row>
    <row r="190" spans="1:16" ht="12.5" x14ac:dyDescent="0.25">
      <c r="A190" s="1">
        <v>10289</v>
      </c>
      <c r="B190" s="1" t="s">
        <v>30</v>
      </c>
      <c r="C190" s="1" t="s">
        <v>31</v>
      </c>
      <c r="D190" t="s">
        <v>69</v>
      </c>
      <c r="E190" s="1">
        <v>90</v>
      </c>
      <c r="F190" s="1">
        <v>150</v>
      </c>
      <c r="G190" s="1">
        <v>762</v>
      </c>
      <c r="H190" s="1">
        <f>Int_breweries[[#This Row],[PLANT_COST]]*Int_breweries[[#This Row],[QUANTITY]]</f>
        <v>68580</v>
      </c>
      <c r="I190" s="1">
        <v>114300</v>
      </c>
      <c r="J190" s="1">
        <v>45720</v>
      </c>
      <c r="K190" s="1" t="s">
        <v>28</v>
      </c>
      <c r="L190" t="s">
        <v>15</v>
      </c>
      <c r="M190" s="1" t="s">
        <v>41</v>
      </c>
      <c r="N190" s="1">
        <v>2019</v>
      </c>
      <c r="O190" t="str" cm="1">
        <f t="array" ref="O190">_xlfn.IFS(OR($K190="Ghana", $K190="Nigeria"), "Anglophone", OR($K190="Togo", $K190="Benin", $K190="Senegal"), "Francophone")</f>
        <v>Francophone</v>
      </c>
      <c r="P190" s="1" t="str">
        <f>LEFT(Int_breweries[[#This Row],[MONTHS]], 3)</f>
        <v>Sep</v>
      </c>
    </row>
    <row r="191" spans="1:16" ht="12.5" x14ac:dyDescent="0.25">
      <c r="A191" s="1">
        <v>10290</v>
      </c>
      <c r="B191" s="1" t="s">
        <v>26</v>
      </c>
      <c r="C191" s="1" t="s">
        <v>27</v>
      </c>
      <c r="D191" t="s">
        <v>63</v>
      </c>
      <c r="E191" s="1">
        <v>150</v>
      </c>
      <c r="F191" s="1">
        <v>200</v>
      </c>
      <c r="G191" s="1">
        <v>742</v>
      </c>
      <c r="H191" s="1">
        <f>Int_breweries[[#This Row],[PLANT_COST]]*Int_breweries[[#This Row],[QUANTITY]]</f>
        <v>111300</v>
      </c>
      <c r="I191" s="1">
        <v>148400</v>
      </c>
      <c r="J191" s="1">
        <v>37100</v>
      </c>
      <c r="K191" s="1" t="s">
        <v>32</v>
      </c>
      <c r="L191" t="s">
        <v>58</v>
      </c>
      <c r="M191" s="1" t="s">
        <v>44</v>
      </c>
      <c r="N191" s="1">
        <v>2017</v>
      </c>
      <c r="O191" t="str" cm="1">
        <f t="array" ref="O191">_xlfn.IFS(OR($K191="Ghana", $K191="Nigeria"), "Anglophone", OR($K191="Togo", $K191="Benin", $K191="Senegal"), "Francophone")</f>
        <v>Francophone</v>
      </c>
      <c r="P191" s="1" t="str">
        <f>LEFT(Int_breweries[[#This Row],[MONTHS]], 3)</f>
        <v>Oct</v>
      </c>
    </row>
    <row r="192" spans="1:16" ht="12.5" x14ac:dyDescent="0.25">
      <c r="A192" s="1">
        <v>10291</v>
      </c>
      <c r="B192" s="1" t="s">
        <v>39</v>
      </c>
      <c r="C192" s="1" t="s">
        <v>40</v>
      </c>
      <c r="D192" t="s">
        <v>64</v>
      </c>
      <c r="E192" s="1">
        <v>250</v>
      </c>
      <c r="F192" s="1">
        <v>500</v>
      </c>
      <c r="G192" s="1">
        <v>902</v>
      </c>
      <c r="H192" s="1">
        <f>Int_breweries[[#This Row],[PLANT_COST]]*Int_breweries[[#This Row],[QUANTITY]]</f>
        <v>225500</v>
      </c>
      <c r="I192" s="1">
        <v>451000</v>
      </c>
      <c r="J192" s="1">
        <v>225500</v>
      </c>
      <c r="K192" s="1" t="s">
        <v>14</v>
      </c>
      <c r="L192" t="s">
        <v>59</v>
      </c>
      <c r="M192" s="1" t="s">
        <v>47</v>
      </c>
      <c r="N192" s="1">
        <v>2019</v>
      </c>
      <c r="O192" t="str" cm="1">
        <f t="array" ref="O192">_xlfn.IFS(OR($K192="Ghana", $K192="Nigeria"), "Anglophone", OR($K192="Togo", $K192="Benin", $K192="Senegal"), "Francophone")</f>
        <v>Anglophone</v>
      </c>
      <c r="P192" s="1" t="str">
        <f>LEFT(Int_breweries[[#This Row],[MONTHS]], 3)</f>
        <v>Nov</v>
      </c>
    </row>
    <row r="193" spans="1:16" ht="12.5" x14ac:dyDescent="0.25">
      <c r="A193" s="1">
        <v>10292</v>
      </c>
      <c r="B193" s="1" t="s">
        <v>51</v>
      </c>
      <c r="C193" s="1" t="s">
        <v>52</v>
      </c>
      <c r="D193" t="s">
        <v>65</v>
      </c>
      <c r="E193" s="1">
        <v>180</v>
      </c>
      <c r="F193" s="1">
        <v>450</v>
      </c>
      <c r="G193" s="1">
        <v>840</v>
      </c>
      <c r="H193" s="1">
        <f>Int_breweries[[#This Row],[PLANT_COST]]*Int_breweries[[#This Row],[QUANTITY]]</f>
        <v>151200</v>
      </c>
      <c r="I193" s="1">
        <v>378000</v>
      </c>
      <c r="J193" s="1">
        <v>226800</v>
      </c>
      <c r="K193" s="1" t="s">
        <v>19</v>
      </c>
      <c r="L193" t="s">
        <v>60</v>
      </c>
      <c r="M193" s="1" t="s">
        <v>48</v>
      </c>
      <c r="N193" s="1">
        <v>2018</v>
      </c>
      <c r="O193" t="str" cm="1">
        <f t="array" ref="O193">_xlfn.IFS(OR($K193="Ghana", $K193="Nigeria"), "Anglophone", OR($K193="Togo", $K193="Benin", $K193="Senegal"), "Francophone")</f>
        <v>Anglophone</v>
      </c>
      <c r="P193" s="1" t="str">
        <f>LEFT(Int_breweries[[#This Row],[MONTHS]], 3)</f>
        <v>Dec</v>
      </c>
    </row>
    <row r="194" spans="1:16" ht="12.5" x14ac:dyDescent="0.25">
      <c r="A194" s="1">
        <v>10293</v>
      </c>
      <c r="B194" s="1" t="s">
        <v>22</v>
      </c>
      <c r="C194" s="1" t="s">
        <v>23</v>
      </c>
      <c r="D194" t="s">
        <v>66</v>
      </c>
      <c r="E194" s="1">
        <v>170</v>
      </c>
      <c r="F194" s="1">
        <v>250</v>
      </c>
      <c r="G194" s="1">
        <v>773</v>
      </c>
      <c r="H194" s="1">
        <f>Int_breweries[[#This Row],[PLANT_COST]]*Int_breweries[[#This Row],[QUANTITY]]</f>
        <v>131410</v>
      </c>
      <c r="I194" s="1">
        <v>193250</v>
      </c>
      <c r="J194" s="1">
        <v>61840</v>
      </c>
      <c r="K194" s="1" t="s">
        <v>24</v>
      </c>
      <c r="L194" t="s">
        <v>61</v>
      </c>
      <c r="M194" s="1" t="s">
        <v>16</v>
      </c>
      <c r="N194" s="1">
        <v>2017</v>
      </c>
      <c r="O194" t="str" cm="1">
        <f t="array" ref="O194">_xlfn.IFS(OR($K194="Ghana", $K194="Nigeria"), "Anglophone", OR($K194="Togo", $K194="Benin", $K194="Senegal"), "Francophone")</f>
        <v>Francophone</v>
      </c>
      <c r="P194" s="1" t="str">
        <f>LEFT(Int_breweries[[#This Row],[MONTHS]], 3)</f>
        <v>Jan</v>
      </c>
    </row>
    <row r="195" spans="1:16" ht="12.5" x14ac:dyDescent="0.25">
      <c r="A195" s="1">
        <v>10294</v>
      </c>
      <c r="B195" s="1" t="s">
        <v>17</v>
      </c>
      <c r="C195" s="1" t="s">
        <v>18</v>
      </c>
      <c r="D195" t="s">
        <v>67</v>
      </c>
      <c r="E195" s="1">
        <v>150</v>
      </c>
      <c r="F195" s="1">
        <v>200</v>
      </c>
      <c r="G195" s="1">
        <v>934</v>
      </c>
      <c r="H195" s="1">
        <f>Int_breweries[[#This Row],[PLANT_COST]]*Int_breweries[[#This Row],[QUANTITY]]</f>
        <v>140100</v>
      </c>
      <c r="I195" s="1">
        <v>186800</v>
      </c>
      <c r="J195" s="1">
        <v>46700</v>
      </c>
      <c r="K195" s="1" t="s">
        <v>28</v>
      </c>
      <c r="L195" t="s">
        <v>62</v>
      </c>
      <c r="M195" s="1" t="s">
        <v>21</v>
      </c>
      <c r="N195" s="1">
        <v>2018</v>
      </c>
      <c r="O195" t="str" cm="1">
        <f t="array" ref="O195">_xlfn.IFS(OR($K195="Ghana", $K195="Nigeria"), "Anglophone", OR($K195="Togo", $K195="Benin", $K195="Senegal"), "Francophone")</f>
        <v>Francophone</v>
      </c>
      <c r="P195" s="1" t="str">
        <f>LEFT(Int_breweries[[#This Row],[MONTHS]], 3)</f>
        <v>Feb</v>
      </c>
    </row>
    <row r="196" spans="1:16" ht="12.5" x14ac:dyDescent="0.25">
      <c r="A196" s="1">
        <v>10295</v>
      </c>
      <c r="B196" s="1" t="s">
        <v>22</v>
      </c>
      <c r="C196" s="1" t="s">
        <v>23</v>
      </c>
      <c r="D196" t="s">
        <v>68</v>
      </c>
      <c r="E196" s="1">
        <v>80</v>
      </c>
      <c r="F196" s="1">
        <v>150</v>
      </c>
      <c r="G196" s="1">
        <v>983</v>
      </c>
      <c r="H196" s="1">
        <f>Int_breweries[[#This Row],[PLANT_COST]]*Int_breweries[[#This Row],[QUANTITY]]</f>
        <v>78640</v>
      </c>
      <c r="I196" s="1">
        <v>147450</v>
      </c>
      <c r="J196" s="1">
        <v>68810</v>
      </c>
      <c r="K196" s="1" t="s">
        <v>32</v>
      </c>
      <c r="L196" t="s">
        <v>15</v>
      </c>
      <c r="M196" s="1" t="s">
        <v>25</v>
      </c>
      <c r="N196" s="1">
        <v>2017</v>
      </c>
      <c r="O196" t="str" cm="1">
        <f t="array" ref="O196">_xlfn.IFS(OR($K196="Ghana", $K196="Nigeria"), "Anglophone", OR($K196="Togo", $K196="Benin", $K196="Senegal"), "Francophone")</f>
        <v>Francophone</v>
      </c>
      <c r="P196" s="1" t="str">
        <f>LEFT(Int_breweries[[#This Row],[MONTHS]], 3)</f>
        <v>Mar</v>
      </c>
    </row>
    <row r="197" spans="1:16" ht="12.5" x14ac:dyDescent="0.25">
      <c r="A197" s="1">
        <v>10296</v>
      </c>
      <c r="B197" s="1" t="s">
        <v>35</v>
      </c>
      <c r="C197" s="1" t="s">
        <v>36</v>
      </c>
      <c r="D197" t="s">
        <v>69</v>
      </c>
      <c r="E197" s="1">
        <v>90</v>
      </c>
      <c r="F197" s="1">
        <v>150</v>
      </c>
      <c r="G197" s="1">
        <v>729</v>
      </c>
      <c r="H197" s="1">
        <f>Int_breweries[[#This Row],[PLANT_COST]]*Int_breweries[[#This Row],[QUANTITY]]</f>
        <v>65610</v>
      </c>
      <c r="I197" s="1">
        <v>109350</v>
      </c>
      <c r="J197" s="1">
        <v>43740</v>
      </c>
      <c r="K197" s="1" t="s">
        <v>14</v>
      </c>
      <c r="L197" t="s">
        <v>58</v>
      </c>
      <c r="M197" s="1" t="s">
        <v>29</v>
      </c>
      <c r="N197" s="1">
        <v>2018</v>
      </c>
      <c r="O197" t="str" cm="1">
        <f t="array" ref="O197">_xlfn.IFS(OR($K197="Ghana", $K197="Nigeria"), "Anglophone", OR($K197="Togo", $K197="Benin", $K197="Senegal"), "Francophone")</f>
        <v>Anglophone</v>
      </c>
      <c r="P197" s="1" t="str">
        <f>LEFT(Int_breweries[[#This Row],[MONTHS]], 3)</f>
        <v>Apr</v>
      </c>
    </row>
    <row r="198" spans="1:16" ht="12.5" x14ac:dyDescent="0.25">
      <c r="A198" s="1">
        <v>10297</v>
      </c>
      <c r="B198" s="1" t="s">
        <v>30</v>
      </c>
      <c r="C198" s="1" t="s">
        <v>31</v>
      </c>
      <c r="D198" t="s">
        <v>63</v>
      </c>
      <c r="E198" s="1">
        <v>150</v>
      </c>
      <c r="F198" s="1">
        <v>200</v>
      </c>
      <c r="G198" s="1">
        <v>786</v>
      </c>
      <c r="H198" s="1">
        <f>Int_breweries[[#This Row],[PLANT_COST]]*Int_breweries[[#This Row],[QUANTITY]]</f>
        <v>117900</v>
      </c>
      <c r="I198" s="1">
        <v>157200</v>
      </c>
      <c r="J198" s="1">
        <v>39300</v>
      </c>
      <c r="K198" s="1" t="s">
        <v>19</v>
      </c>
      <c r="L198" t="s">
        <v>59</v>
      </c>
      <c r="M198" s="1" t="s">
        <v>33</v>
      </c>
      <c r="N198" s="1">
        <v>2017</v>
      </c>
      <c r="O198" t="str" cm="1">
        <f t="array" ref="O198">_xlfn.IFS(OR($K198="Ghana", $K198="Nigeria"), "Anglophone", OR($K198="Togo", $K198="Benin", $K198="Senegal"), "Francophone")</f>
        <v>Anglophone</v>
      </c>
      <c r="P198" s="1" t="str">
        <f>LEFT(Int_breweries[[#This Row],[MONTHS]], 3)</f>
        <v>May</v>
      </c>
    </row>
    <row r="199" spans="1:16" ht="12.5" x14ac:dyDescent="0.25">
      <c r="A199" s="1">
        <v>10298</v>
      </c>
      <c r="B199" s="1" t="s">
        <v>12</v>
      </c>
      <c r="C199" s="1" t="s">
        <v>13</v>
      </c>
      <c r="D199" t="s">
        <v>64</v>
      </c>
      <c r="E199" s="1">
        <v>250</v>
      </c>
      <c r="F199" s="1">
        <v>500</v>
      </c>
      <c r="G199" s="1">
        <v>843</v>
      </c>
      <c r="H199" s="1">
        <f>Int_breweries[[#This Row],[PLANT_COST]]*Int_breweries[[#This Row],[QUANTITY]]</f>
        <v>210750</v>
      </c>
      <c r="I199" s="1">
        <v>421500</v>
      </c>
      <c r="J199" s="1">
        <v>210750</v>
      </c>
      <c r="K199" s="1" t="s">
        <v>24</v>
      </c>
      <c r="L199" t="s">
        <v>60</v>
      </c>
      <c r="M199" s="1" t="s">
        <v>34</v>
      </c>
      <c r="N199" s="1">
        <v>2018</v>
      </c>
      <c r="O199" t="str" cm="1">
        <f t="array" ref="O199">_xlfn.IFS(OR($K199="Ghana", $K199="Nigeria"), "Anglophone", OR($K199="Togo", $K199="Benin", $K199="Senegal"), "Francophone")</f>
        <v>Francophone</v>
      </c>
      <c r="P199" s="1" t="str">
        <f>LEFT(Int_breweries[[#This Row],[MONTHS]], 3)</f>
        <v>Jun</v>
      </c>
    </row>
    <row r="200" spans="1:16" ht="12.5" x14ac:dyDescent="0.25">
      <c r="A200" s="1">
        <v>10299</v>
      </c>
      <c r="B200" s="1" t="s">
        <v>12</v>
      </c>
      <c r="C200" s="1" t="s">
        <v>13</v>
      </c>
      <c r="D200" t="s">
        <v>65</v>
      </c>
      <c r="E200" s="1">
        <v>180</v>
      </c>
      <c r="F200" s="1">
        <v>450</v>
      </c>
      <c r="G200" s="1">
        <v>897</v>
      </c>
      <c r="H200" s="1">
        <f>Int_breweries[[#This Row],[PLANT_COST]]*Int_breweries[[#This Row],[QUANTITY]]</f>
        <v>161460</v>
      </c>
      <c r="I200" s="1">
        <v>403650</v>
      </c>
      <c r="J200" s="1">
        <v>242190</v>
      </c>
      <c r="K200" s="1" t="s">
        <v>28</v>
      </c>
      <c r="L200" t="s">
        <v>61</v>
      </c>
      <c r="M200" s="1" t="s">
        <v>37</v>
      </c>
      <c r="N200" s="1">
        <v>2017</v>
      </c>
      <c r="O200" t="str" cm="1">
        <f t="array" ref="O200">_xlfn.IFS(OR($K200="Ghana", $K200="Nigeria"), "Anglophone", OR($K200="Togo", $K200="Benin", $K200="Senegal"), "Francophone")</f>
        <v>Francophone</v>
      </c>
      <c r="P200" s="1" t="str">
        <f>LEFT(Int_breweries[[#This Row],[MONTHS]], 3)</f>
        <v>Jul</v>
      </c>
    </row>
    <row r="201" spans="1:16" ht="12.5" x14ac:dyDescent="0.25">
      <c r="A201" s="1">
        <v>10300</v>
      </c>
      <c r="B201" s="1" t="s">
        <v>30</v>
      </c>
      <c r="C201" s="1" t="s">
        <v>31</v>
      </c>
      <c r="D201" t="s">
        <v>66</v>
      </c>
      <c r="E201" s="1">
        <v>170</v>
      </c>
      <c r="F201" s="1">
        <v>250</v>
      </c>
      <c r="G201" s="1">
        <v>733</v>
      </c>
      <c r="H201" s="1">
        <f>Int_breweries[[#This Row],[PLANT_COST]]*Int_breweries[[#This Row],[QUANTITY]]</f>
        <v>124610</v>
      </c>
      <c r="I201" s="1">
        <v>183250</v>
      </c>
      <c r="J201" s="1">
        <v>58640</v>
      </c>
      <c r="K201" s="1" t="s">
        <v>32</v>
      </c>
      <c r="L201" t="s">
        <v>62</v>
      </c>
      <c r="M201" s="1" t="s">
        <v>38</v>
      </c>
      <c r="N201" s="1">
        <v>2018</v>
      </c>
      <c r="O201" t="str" cm="1">
        <f t="array" ref="O201">_xlfn.IFS(OR($K201="Ghana", $K201="Nigeria"), "Anglophone", OR($K201="Togo", $K201="Benin", $K201="Senegal"), "Francophone")</f>
        <v>Francophone</v>
      </c>
      <c r="P201" s="1" t="str">
        <f>LEFT(Int_breweries[[#This Row],[MONTHS]], 3)</f>
        <v>Aug</v>
      </c>
    </row>
    <row r="202" spans="1:16" ht="12.5" x14ac:dyDescent="0.25">
      <c r="A202" s="1">
        <v>10301</v>
      </c>
      <c r="B202" s="1" t="s">
        <v>12</v>
      </c>
      <c r="C202" s="1" t="s">
        <v>13</v>
      </c>
      <c r="D202" t="s">
        <v>67</v>
      </c>
      <c r="E202" s="1">
        <v>150</v>
      </c>
      <c r="F202" s="1">
        <v>200</v>
      </c>
      <c r="G202" s="1">
        <v>939</v>
      </c>
      <c r="H202" s="1">
        <f>Int_breweries[[#This Row],[PLANT_COST]]*Int_breweries[[#This Row],[QUANTITY]]</f>
        <v>140850</v>
      </c>
      <c r="I202" s="1">
        <v>187800</v>
      </c>
      <c r="J202" s="1">
        <v>46950</v>
      </c>
      <c r="K202" s="1" t="s">
        <v>14</v>
      </c>
      <c r="L202" t="s">
        <v>15</v>
      </c>
      <c r="M202" s="1" t="s">
        <v>41</v>
      </c>
      <c r="N202" s="1">
        <v>2019</v>
      </c>
      <c r="O202" t="str" cm="1">
        <f t="array" ref="O202">_xlfn.IFS(OR($K202="Ghana", $K202="Nigeria"), "Anglophone", OR($K202="Togo", $K202="Benin", $K202="Senegal"), "Francophone")</f>
        <v>Anglophone</v>
      </c>
      <c r="P202" s="1" t="str">
        <f>LEFT(Int_breweries[[#This Row],[MONTHS]], 3)</f>
        <v>Sep</v>
      </c>
    </row>
    <row r="203" spans="1:16" ht="12.5" x14ac:dyDescent="0.25">
      <c r="A203" s="1">
        <v>10302</v>
      </c>
      <c r="B203" s="1" t="s">
        <v>17</v>
      </c>
      <c r="C203" s="1" t="s">
        <v>18</v>
      </c>
      <c r="D203" t="s">
        <v>68</v>
      </c>
      <c r="E203" s="1">
        <v>80</v>
      </c>
      <c r="F203" s="1">
        <v>150</v>
      </c>
      <c r="G203" s="1">
        <v>836</v>
      </c>
      <c r="H203" s="1">
        <f>Int_breweries[[#This Row],[PLANT_COST]]*Int_breweries[[#This Row],[QUANTITY]]</f>
        <v>66880</v>
      </c>
      <c r="I203" s="1">
        <v>125400</v>
      </c>
      <c r="J203" s="1">
        <v>58520</v>
      </c>
      <c r="K203" s="1" t="s">
        <v>19</v>
      </c>
      <c r="L203" t="s">
        <v>58</v>
      </c>
      <c r="M203" s="1" t="s">
        <v>44</v>
      </c>
      <c r="N203" s="1">
        <v>2017</v>
      </c>
      <c r="O203" t="str" cm="1">
        <f t="array" ref="O203">_xlfn.IFS(OR($K203="Ghana", $K203="Nigeria"), "Anglophone", OR($K203="Togo", $K203="Benin", $K203="Senegal"), "Francophone")</f>
        <v>Anglophone</v>
      </c>
      <c r="P203" s="1" t="str">
        <f>LEFT(Int_breweries[[#This Row],[MONTHS]], 3)</f>
        <v>Oct</v>
      </c>
    </row>
    <row r="204" spans="1:16" ht="12.5" x14ac:dyDescent="0.25">
      <c r="A204" s="1">
        <v>10303</v>
      </c>
      <c r="B204" s="1" t="s">
        <v>22</v>
      </c>
      <c r="C204" s="1" t="s">
        <v>23</v>
      </c>
      <c r="D204" t="s">
        <v>69</v>
      </c>
      <c r="E204" s="1">
        <v>90</v>
      </c>
      <c r="F204" s="1">
        <v>150</v>
      </c>
      <c r="G204" s="1">
        <v>874</v>
      </c>
      <c r="H204" s="1">
        <f>Int_breweries[[#This Row],[PLANT_COST]]*Int_breweries[[#This Row],[QUANTITY]]</f>
        <v>78660</v>
      </c>
      <c r="I204" s="1">
        <v>131100</v>
      </c>
      <c r="J204" s="1">
        <v>52440</v>
      </c>
      <c r="K204" s="1" t="s">
        <v>24</v>
      </c>
      <c r="L204" t="s">
        <v>59</v>
      </c>
      <c r="M204" s="1" t="s">
        <v>47</v>
      </c>
      <c r="N204" s="1">
        <v>2018</v>
      </c>
      <c r="O204" t="str" cm="1">
        <f t="array" ref="O204">_xlfn.IFS(OR($K204="Ghana", $K204="Nigeria"), "Anglophone", OR($K204="Togo", $K204="Benin", $K204="Senegal"), "Francophone")</f>
        <v>Francophone</v>
      </c>
      <c r="P204" s="1" t="str">
        <f>LEFT(Int_breweries[[#This Row],[MONTHS]], 3)</f>
        <v>Nov</v>
      </c>
    </row>
    <row r="205" spans="1:16" ht="12.5" x14ac:dyDescent="0.25">
      <c r="A205" s="1">
        <v>10304</v>
      </c>
      <c r="B205" s="1" t="s">
        <v>26</v>
      </c>
      <c r="C205" s="1" t="s">
        <v>27</v>
      </c>
      <c r="D205" t="s">
        <v>63</v>
      </c>
      <c r="E205" s="1">
        <v>150</v>
      </c>
      <c r="F205" s="1">
        <v>200</v>
      </c>
      <c r="G205" s="1">
        <v>764</v>
      </c>
      <c r="H205" s="1">
        <f>Int_breweries[[#This Row],[PLANT_COST]]*Int_breweries[[#This Row],[QUANTITY]]</f>
        <v>114600</v>
      </c>
      <c r="I205" s="1">
        <v>152800</v>
      </c>
      <c r="J205" s="1">
        <v>38200</v>
      </c>
      <c r="K205" s="1" t="s">
        <v>28</v>
      </c>
      <c r="L205" t="s">
        <v>60</v>
      </c>
      <c r="M205" s="1" t="s">
        <v>48</v>
      </c>
      <c r="N205" s="1">
        <v>2018</v>
      </c>
      <c r="O205" t="str" cm="1">
        <f t="array" ref="O205">_xlfn.IFS(OR($K205="Ghana", $K205="Nigeria"), "Anglophone", OR($K205="Togo", $K205="Benin", $K205="Senegal"), "Francophone")</f>
        <v>Francophone</v>
      </c>
      <c r="P205" s="1" t="str">
        <f>LEFT(Int_breweries[[#This Row],[MONTHS]], 3)</f>
        <v>Dec</v>
      </c>
    </row>
    <row r="206" spans="1:16" ht="12.5" x14ac:dyDescent="0.25">
      <c r="A206" s="1">
        <v>10305</v>
      </c>
      <c r="B206" s="1" t="s">
        <v>30</v>
      </c>
      <c r="C206" s="1" t="s">
        <v>31</v>
      </c>
      <c r="D206" t="s">
        <v>64</v>
      </c>
      <c r="E206" s="1">
        <v>250</v>
      </c>
      <c r="F206" s="1">
        <v>500</v>
      </c>
      <c r="G206" s="1">
        <v>920</v>
      </c>
      <c r="H206" s="1">
        <f>Int_breweries[[#This Row],[PLANT_COST]]*Int_breweries[[#This Row],[QUANTITY]]</f>
        <v>230000</v>
      </c>
      <c r="I206" s="1">
        <v>460000</v>
      </c>
      <c r="J206" s="1">
        <v>230000</v>
      </c>
      <c r="K206" s="1" t="s">
        <v>32</v>
      </c>
      <c r="L206" t="s">
        <v>61</v>
      </c>
      <c r="M206" s="1" t="s">
        <v>16</v>
      </c>
      <c r="N206" s="1">
        <v>2019</v>
      </c>
      <c r="O206" t="str" cm="1">
        <f t="array" ref="O206">_xlfn.IFS(OR($K206="Ghana", $K206="Nigeria"), "Anglophone", OR($K206="Togo", $K206="Benin", $K206="Senegal"), "Francophone")</f>
        <v>Francophone</v>
      </c>
      <c r="P206" s="1" t="str">
        <f>LEFT(Int_breweries[[#This Row],[MONTHS]], 3)</f>
        <v>Jan</v>
      </c>
    </row>
    <row r="207" spans="1:16" ht="12.5" x14ac:dyDescent="0.25">
      <c r="A207" s="1">
        <v>10306</v>
      </c>
      <c r="B207" s="1" t="s">
        <v>12</v>
      </c>
      <c r="C207" s="1" t="s">
        <v>13</v>
      </c>
      <c r="D207" t="s">
        <v>65</v>
      </c>
      <c r="E207" s="1">
        <v>180</v>
      </c>
      <c r="F207" s="1">
        <v>450</v>
      </c>
      <c r="G207" s="1">
        <v>950</v>
      </c>
      <c r="H207" s="1">
        <f>Int_breweries[[#This Row],[PLANT_COST]]*Int_breweries[[#This Row],[QUANTITY]]</f>
        <v>171000</v>
      </c>
      <c r="I207" s="1">
        <v>427500</v>
      </c>
      <c r="J207" s="1">
        <v>256500</v>
      </c>
      <c r="K207" s="1" t="s">
        <v>14</v>
      </c>
      <c r="L207" t="s">
        <v>62</v>
      </c>
      <c r="M207" s="1" t="s">
        <v>21</v>
      </c>
      <c r="N207" s="1">
        <v>2017</v>
      </c>
      <c r="O207" t="str" cm="1">
        <f t="array" ref="O207">_xlfn.IFS(OR($K207="Ghana", $K207="Nigeria"), "Anglophone", OR($K207="Togo", $K207="Benin", $K207="Senegal"), "Francophone")</f>
        <v>Anglophone</v>
      </c>
      <c r="P207" s="1" t="str">
        <f>LEFT(Int_breweries[[#This Row],[MONTHS]], 3)</f>
        <v>Feb</v>
      </c>
    </row>
    <row r="208" spans="1:16" ht="12.5" x14ac:dyDescent="0.25">
      <c r="A208" s="1">
        <v>10307</v>
      </c>
      <c r="B208" s="1" t="s">
        <v>35</v>
      </c>
      <c r="C208" s="1" t="s">
        <v>36</v>
      </c>
      <c r="D208" t="s">
        <v>66</v>
      </c>
      <c r="E208" s="1">
        <v>170</v>
      </c>
      <c r="F208" s="1">
        <v>250</v>
      </c>
      <c r="G208" s="1">
        <v>841</v>
      </c>
      <c r="H208" s="1">
        <f>Int_breweries[[#This Row],[PLANT_COST]]*Int_breweries[[#This Row],[QUANTITY]]</f>
        <v>142970</v>
      </c>
      <c r="I208" s="1">
        <v>210250</v>
      </c>
      <c r="J208" s="1">
        <v>67280</v>
      </c>
      <c r="K208" s="1" t="s">
        <v>19</v>
      </c>
      <c r="L208" t="s">
        <v>15</v>
      </c>
      <c r="M208" s="1" t="s">
        <v>25</v>
      </c>
      <c r="N208" s="1">
        <v>2017</v>
      </c>
      <c r="O208" t="str" cm="1">
        <f t="array" ref="O208">_xlfn.IFS(OR($K208="Ghana", $K208="Nigeria"), "Anglophone", OR($K208="Togo", $K208="Benin", $K208="Senegal"), "Francophone")</f>
        <v>Anglophone</v>
      </c>
      <c r="P208" s="1" t="str">
        <f>LEFT(Int_breweries[[#This Row],[MONTHS]], 3)</f>
        <v>Mar</v>
      </c>
    </row>
    <row r="209" spans="1:16" ht="12.5" x14ac:dyDescent="0.25">
      <c r="A209" s="1">
        <v>10308</v>
      </c>
      <c r="B209" s="1" t="s">
        <v>26</v>
      </c>
      <c r="C209" s="1" t="s">
        <v>27</v>
      </c>
      <c r="D209" t="s">
        <v>67</v>
      </c>
      <c r="E209" s="1">
        <v>150</v>
      </c>
      <c r="F209" s="1">
        <v>200</v>
      </c>
      <c r="G209" s="1">
        <v>801</v>
      </c>
      <c r="H209" s="1">
        <f>Int_breweries[[#This Row],[PLANT_COST]]*Int_breweries[[#This Row],[QUANTITY]]</f>
        <v>120150</v>
      </c>
      <c r="I209" s="1">
        <v>160200</v>
      </c>
      <c r="J209" s="1">
        <v>40050</v>
      </c>
      <c r="K209" s="1" t="s">
        <v>24</v>
      </c>
      <c r="L209" t="s">
        <v>58</v>
      </c>
      <c r="M209" s="1" t="s">
        <v>29</v>
      </c>
      <c r="N209" s="1">
        <v>2017</v>
      </c>
      <c r="O209" t="str" cm="1">
        <f t="array" ref="O209">_xlfn.IFS(OR($K209="Ghana", $K209="Nigeria"), "Anglophone", OR($K209="Togo", $K209="Benin", $K209="Senegal"), "Francophone")</f>
        <v>Francophone</v>
      </c>
      <c r="P209" s="1" t="str">
        <f>LEFT(Int_breweries[[#This Row],[MONTHS]], 3)</f>
        <v>Apr</v>
      </c>
    </row>
    <row r="210" spans="1:16" ht="12.5" x14ac:dyDescent="0.25">
      <c r="A210" s="1">
        <v>10309</v>
      </c>
      <c r="B210" s="1" t="s">
        <v>39</v>
      </c>
      <c r="C210" s="1" t="s">
        <v>40</v>
      </c>
      <c r="D210" t="s">
        <v>68</v>
      </c>
      <c r="E210" s="1">
        <v>80</v>
      </c>
      <c r="F210" s="1">
        <v>150</v>
      </c>
      <c r="G210" s="1">
        <v>867</v>
      </c>
      <c r="H210" s="1">
        <f>Int_breweries[[#This Row],[PLANT_COST]]*Int_breweries[[#This Row],[QUANTITY]]</f>
        <v>69360</v>
      </c>
      <c r="I210" s="1">
        <v>130050</v>
      </c>
      <c r="J210" s="1">
        <v>60690</v>
      </c>
      <c r="K210" s="1" t="s">
        <v>28</v>
      </c>
      <c r="L210" t="s">
        <v>59</v>
      </c>
      <c r="M210" s="1" t="s">
        <v>33</v>
      </c>
      <c r="N210" s="1">
        <v>2018</v>
      </c>
      <c r="O210" t="str" cm="1">
        <f t="array" ref="O210">_xlfn.IFS(OR($K210="Ghana", $K210="Nigeria"), "Anglophone", OR($K210="Togo", $K210="Benin", $K210="Senegal"), "Francophone")</f>
        <v>Francophone</v>
      </c>
      <c r="P210" s="1" t="str">
        <f>LEFT(Int_breweries[[#This Row],[MONTHS]], 3)</f>
        <v>May</v>
      </c>
    </row>
    <row r="211" spans="1:16" ht="12.5" x14ac:dyDescent="0.25">
      <c r="A211" s="1">
        <v>10310</v>
      </c>
      <c r="B211" s="1" t="s">
        <v>42</v>
      </c>
      <c r="C211" s="1" t="s">
        <v>43</v>
      </c>
      <c r="D211" t="s">
        <v>69</v>
      </c>
      <c r="E211" s="1">
        <v>90</v>
      </c>
      <c r="F211" s="1">
        <v>150</v>
      </c>
      <c r="G211" s="1">
        <v>721</v>
      </c>
      <c r="H211" s="1">
        <f>Int_breweries[[#This Row],[PLANT_COST]]*Int_breweries[[#This Row],[QUANTITY]]</f>
        <v>64890</v>
      </c>
      <c r="I211" s="1">
        <v>108150</v>
      </c>
      <c r="J211" s="1">
        <v>43260</v>
      </c>
      <c r="K211" s="1" t="s">
        <v>32</v>
      </c>
      <c r="L211" t="s">
        <v>60</v>
      </c>
      <c r="M211" s="1" t="s">
        <v>34</v>
      </c>
      <c r="N211" s="1">
        <v>2017</v>
      </c>
      <c r="O211" t="str" cm="1">
        <f t="array" ref="O211">_xlfn.IFS(OR($K211="Ghana", $K211="Nigeria"), "Anglophone", OR($K211="Togo", $K211="Benin", $K211="Senegal"), "Francophone")</f>
        <v>Francophone</v>
      </c>
      <c r="P211" s="1" t="str">
        <f>LEFT(Int_breweries[[#This Row],[MONTHS]], 3)</f>
        <v>Jun</v>
      </c>
    </row>
    <row r="212" spans="1:16" ht="12.5" x14ac:dyDescent="0.25">
      <c r="A212" s="1">
        <v>10311</v>
      </c>
      <c r="B212" s="1" t="s">
        <v>45</v>
      </c>
      <c r="C212" s="1" t="s">
        <v>46</v>
      </c>
      <c r="D212" t="s">
        <v>63</v>
      </c>
      <c r="E212" s="1">
        <v>150</v>
      </c>
      <c r="F212" s="1">
        <v>200</v>
      </c>
      <c r="G212" s="1">
        <v>755</v>
      </c>
      <c r="H212" s="1">
        <f>Int_breweries[[#This Row],[PLANT_COST]]*Int_breweries[[#This Row],[QUANTITY]]</f>
        <v>113250</v>
      </c>
      <c r="I212" s="1">
        <v>151000</v>
      </c>
      <c r="J212" s="1">
        <v>37750</v>
      </c>
      <c r="K212" s="1" t="s">
        <v>14</v>
      </c>
      <c r="L212" t="s">
        <v>61</v>
      </c>
      <c r="M212" s="1" t="s">
        <v>37</v>
      </c>
      <c r="N212" s="1">
        <v>2017</v>
      </c>
      <c r="O212" t="str" cm="1">
        <f t="array" ref="O212">_xlfn.IFS(OR($K212="Ghana", $K212="Nigeria"), "Anglophone", OR($K212="Togo", $K212="Benin", $K212="Senegal"), "Francophone")</f>
        <v>Anglophone</v>
      </c>
      <c r="P212" s="1" t="str">
        <f>LEFT(Int_breweries[[#This Row],[MONTHS]], 3)</f>
        <v>Jul</v>
      </c>
    </row>
    <row r="213" spans="1:16" ht="12.5" x14ac:dyDescent="0.25">
      <c r="A213" s="1">
        <v>10312</v>
      </c>
      <c r="B213" s="1" t="s">
        <v>26</v>
      </c>
      <c r="C213" s="1" t="s">
        <v>27</v>
      </c>
      <c r="D213" t="s">
        <v>64</v>
      </c>
      <c r="E213" s="1">
        <v>250</v>
      </c>
      <c r="F213" s="1">
        <v>500</v>
      </c>
      <c r="G213" s="1">
        <v>937</v>
      </c>
      <c r="H213" s="1">
        <f>Int_breweries[[#This Row],[PLANT_COST]]*Int_breweries[[#This Row],[QUANTITY]]</f>
        <v>234250</v>
      </c>
      <c r="I213" s="1">
        <v>468500</v>
      </c>
      <c r="J213" s="1">
        <v>234250</v>
      </c>
      <c r="K213" s="1" t="s">
        <v>19</v>
      </c>
      <c r="L213" t="s">
        <v>62</v>
      </c>
      <c r="M213" s="1" t="s">
        <v>38</v>
      </c>
      <c r="N213" s="1">
        <v>2018</v>
      </c>
      <c r="O213" t="str" cm="1">
        <f t="array" ref="O213">_xlfn.IFS(OR($K213="Ghana", $K213="Nigeria"), "Anglophone", OR($K213="Togo", $K213="Benin", $K213="Senegal"), "Francophone")</f>
        <v>Anglophone</v>
      </c>
      <c r="P213" s="1" t="str">
        <f>LEFT(Int_breweries[[#This Row],[MONTHS]], 3)</f>
        <v>Aug</v>
      </c>
    </row>
    <row r="214" spans="1:16" ht="12.5" x14ac:dyDescent="0.25">
      <c r="A214" s="1">
        <v>10313</v>
      </c>
      <c r="B214" s="1" t="s">
        <v>49</v>
      </c>
      <c r="C214" s="1" t="s">
        <v>50</v>
      </c>
      <c r="D214" t="s">
        <v>65</v>
      </c>
      <c r="E214" s="1">
        <v>180</v>
      </c>
      <c r="F214" s="1">
        <v>450</v>
      </c>
      <c r="G214" s="1">
        <v>865</v>
      </c>
      <c r="H214" s="1">
        <f>Int_breweries[[#This Row],[PLANT_COST]]*Int_breweries[[#This Row],[QUANTITY]]</f>
        <v>155700</v>
      </c>
      <c r="I214" s="1">
        <v>389250</v>
      </c>
      <c r="J214" s="1">
        <v>233550</v>
      </c>
      <c r="K214" s="1" t="s">
        <v>24</v>
      </c>
      <c r="L214" t="s">
        <v>15</v>
      </c>
      <c r="M214" s="1" t="s">
        <v>41</v>
      </c>
      <c r="N214" s="1">
        <v>2017</v>
      </c>
      <c r="O214" t="str" cm="1">
        <f t="array" ref="O214">_xlfn.IFS(OR($K214="Ghana", $K214="Nigeria"), "Anglophone", OR($K214="Togo", $K214="Benin", $K214="Senegal"), "Francophone")</f>
        <v>Francophone</v>
      </c>
      <c r="P214" s="1" t="str">
        <f>LEFT(Int_breweries[[#This Row],[MONTHS]], 3)</f>
        <v>Sep</v>
      </c>
    </row>
    <row r="215" spans="1:16" ht="12.5" x14ac:dyDescent="0.25">
      <c r="A215" s="1">
        <v>10314</v>
      </c>
      <c r="B215" s="1" t="s">
        <v>26</v>
      </c>
      <c r="C215" s="1" t="s">
        <v>27</v>
      </c>
      <c r="D215" t="s">
        <v>66</v>
      </c>
      <c r="E215" s="1">
        <v>170</v>
      </c>
      <c r="F215" s="1">
        <v>250</v>
      </c>
      <c r="G215" s="1">
        <v>736</v>
      </c>
      <c r="H215" s="1">
        <f>Int_breweries[[#This Row],[PLANT_COST]]*Int_breweries[[#This Row],[QUANTITY]]</f>
        <v>125120</v>
      </c>
      <c r="I215" s="1">
        <v>184000</v>
      </c>
      <c r="J215" s="1">
        <v>58880</v>
      </c>
      <c r="K215" s="1" t="s">
        <v>28</v>
      </c>
      <c r="L215" t="s">
        <v>58</v>
      </c>
      <c r="M215" s="1" t="s">
        <v>44</v>
      </c>
      <c r="N215" s="1">
        <v>2018</v>
      </c>
      <c r="O215" t="str" cm="1">
        <f t="array" ref="O215">_xlfn.IFS(OR($K215="Ghana", $K215="Nigeria"), "Anglophone", OR($K215="Togo", $K215="Benin", $K215="Senegal"), "Francophone")</f>
        <v>Francophone</v>
      </c>
      <c r="P215" s="1" t="str">
        <f>LEFT(Int_breweries[[#This Row],[MONTHS]], 3)</f>
        <v>Oct</v>
      </c>
    </row>
    <row r="216" spans="1:16" ht="12.5" x14ac:dyDescent="0.25">
      <c r="A216" s="1">
        <v>10315</v>
      </c>
      <c r="B216" s="1" t="s">
        <v>12</v>
      </c>
      <c r="C216" s="1" t="s">
        <v>13</v>
      </c>
      <c r="D216" t="s">
        <v>67</v>
      </c>
      <c r="E216" s="1">
        <v>150</v>
      </c>
      <c r="F216" s="1">
        <v>200</v>
      </c>
      <c r="G216" s="1">
        <v>982</v>
      </c>
      <c r="H216" s="1">
        <f>Int_breweries[[#This Row],[PLANT_COST]]*Int_breweries[[#This Row],[QUANTITY]]</f>
        <v>147300</v>
      </c>
      <c r="I216" s="1">
        <v>196400</v>
      </c>
      <c r="J216" s="1">
        <v>49100</v>
      </c>
      <c r="K216" s="1" t="s">
        <v>32</v>
      </c>
      <c r="L216" t="s">
        <v>59</v>
      </c>
      <c r="M216" s="1" t="s">
        <v>47</v>
      </c>
      <c r="N216" s="1">
        <v>2017</v>
      </c>
      <c r="O216" t="str" cm="1">
        <f t="array" ref="O216">_xlfn.IFS(OR($K216="Ghana", $K216="Nigeria"), "Anglophone", OR($K216="Togo", $K216="Benin", $K216="Senegal"), "Francophone")</f>
        <v>Francophone</v>
      </c>
      <c r="P216" s="1" t="str">
        <f>LEFT(Int_breweries[[#This Row],[MONTHS]], 3)</f>
        <v>Nov</v>
      </c>
    </row>
    <row r="217" spans="1:16" ht="12.5" x14ac:dyDescent="0.25">
      <c r="A217" s="1">
        <v>10316</v>
      </c>
      <c r="B217" s="1" t="s">
        <v>17</v>
      </c>
      <c r="C217" s="1" t="s">
        <v>18</v>
      </c>
      <c r="D217" t="s">
        <v>68</v>
      </c>
      <c r="E217" s="1">
        <v>80</v>
      </c>
      <c r="F217" s="1">
        <v>150</v>
      </c>
      <c r="G217" s="1">
        <v>850</v>
      </c>
      <c r="H217" s="1">
        <f>Int_breweries[[#This Row],[PLANT_COST]]*Int_breweries[[#This Row],[QUANTITY]]</f>
        <v>68000</v>
      </c>
      <c r="I217" s="1">
        <v>127500</v>
      </c>
      <c r="J217" s="1">
        <v>59500</v>
      </c>
      <c r="K217" s="1" t="s">
        <v>14</v>
      </c>
      <c r="L217" t="s">
        <v>60</v>
      </c>
      <c r="M217" s="1" t="s">
        <v>48</v>
      </c>
      <c r="N217" s="1">
        <v>2017</v>
      </c>
      <c r="O217" t="str" cm="1">
        <f t="array" ref="O217">_xlfn.IFS(OR($K217="Ghana", $K217="Nigeria"), "Anglophone", OR($K217="Togo", $K217="Benin", $K217="Senegal"), "Francophone")</f>
        <v>Anglophone</v>
      </c>
      <c r="P217" s="1" t="str">
        <f>LEFT(Int_breweries[[#This Row],[MONTHS]], 3)</f>
        <v>Dec</v>
      </c>
    </row>
    <row r="218" spans="1:16" ht="12.5" x14ac:dyDescent="0.25">
      <c r="A218" s="1">
        <v>10317</v>
      </c>
      <c r="B218" s="1" t="s">
        <v>22</v>
      </c>
      <c r="C218" s="1" t="s">
        <v>23</v>
      </c>
      <c r="D218" t="s">
        <v>69</v>
      </c>
      <c r="E218" s="1">
        <v>90</v>
      </c>
      <c r="F218" s="1">
        <v>150</v>
      </c>
      <c r="G218" s="1">
        <v>754</v>
      </c>
      <c r="H218" s="1">
        <f>Int_breweries[[#This Row],[PLANT_COST]]*Int_breweries[[#This Row],[QUANTITY]]</f>
        <v>67860</v>
      </c>
      <c r="I218" s="1">
        <v>113100</v>
      </c>
      <c r="J218" s="1">
        <v>45240</v>
      </c>
      <c r="K218" s="1" t="s">
        <v>19</v>
      </c>
      <c r="L218" t="s">
        <v>61</v>
      </c>
      <c r="M218" s="1" t="s">
        <v>16</v>
      </c>
      <c r="N218" s="1">
        <v>2017</v>
      </c>
      <c r="O218" t="str" cm="1">
        <f t="array" ref="O218">_xlfn.IFS(OR($K218="Ghana", $K218="Nigeria"), "Anglophone", OR($K218="Togo", $K218="Benin", $K218="Senegal"), "Francophone")</f>
        <v>Anglophone</v>
      </c>
      <c r="P218" s="1" t="str">
        <f>LEFT(Int_breweries[[#This Row],[MONTHS]], 3)</f>
        <v>Jan</v>
      </c>
    </row>
    <row r="219" spans="1:16" ht="12.5" x14ac:dyDescent="0.25">
      <c r="A219" s="1">
        <v>10318</v>
      </c>
      <c r="B219" s="1" t="s">
        <v>26</v>
      </c>
      <c r="C219" s="1" t="s">
        <v>27</v>
      </c>
      <c r="D219" t="s">
        <v>63</v>
      </c>
      <c r="E219" s="1">
        <v>150</v>
      </c>
      <c r="F219" s="1">
        <v>200</v>
      </c>
      <c r="G219" s="1">
        <v>912</v>
      </c>
      <c r="H219" s="1">
        <f>Int_breweries[[#This Row],[PLANT_COST]]*Int_breweries[[#This Row],[QUANTITY]]</f>
        <v>136800</v>
      </c>
      <c r="I219" s="1">
        <v>182400</v>
      </c>
      <c r="J219" s="1">
        <v>45600</v>
      </c>
      <c r="K219" s="1" t="s">
        <v>24</v>
      </c>
      <c r="L219" t="s">
        <v>62</v>
      </c>
      <c r="M219" s="1" t="s">
        <v>21</v>
      </c>
      <c r="N219" s="1">
        <v>2018</v>
      </c>
      <c r="O219" t="str" cm="1">
        <f t="array" ref="O219">_xlfn.IFS(OR($K219="Ghana", $K219="Nigeria"), "Anglophone", OR($K219="Togo", $K219="Benin", $K219="Senegal"), "Francophone")</f>
        <v>Francophone</v>
      </c>
      <c r="P219" s="1" t="str">
        <f>LEFT(Int_breweries[[#This Row],[MONTHS]], 3)</f>
        <v>Feb</v>
      </c>
    </row>
    <row r="220" spans="1:16" ht="12.5" x14ac:dyDescent="0.25">
      <c r="A220" s="1">
        <v>10319</v>
      </c>
      <c r="B220" s="1" t="s">
        <v>30</v>
      </c>
      <c r="C220" s="1" t="s">
        <v>31</v>
      </c>
      <c r="D220" t="s">
        <v>64</v>
      </c>
      <c r="E220" s="1">
        <v>250</v>
      </c>
      <c r="F220" s="1">
        <v>500</v>
      </c>
      <c r="G220" s="1">
        <v>881</v>
      </c>
      <c r="H220" s="1">
        <f>Int_breweries[[#This Row],[PLANT_COST]]*Int_breweries[[#This Row],[QUANTITY]]</f>
        <v>220250</v>
      </c>
      <c r="I220" s="1">
        <v>440500</v>
      </c>
      <c r="J220" s="1">
        <v>220250</v>
      </c>
      <c r="K220" s="1" t="s">
        <v>28</v>
      </c>
      <c r="L220" t="s">
        <v>15</v>
      </c>
      <c r="M220" s="1" t="s">
        <v>25</v>
      </c>
      <c r="N220" s="1">
        <v>2017</v>
      </c>
      <c r="O220" t="str" cm="1">
        <f t="array" ref="O220">_xlfn.IFS(OR($K220="Ghana", $K220="Nigeria"), "Anglophone", OR($K220="Togo", $K220="Benin", $K220="Senegal"), "Francophone")</f>
        <v>Francophone</v>
      </c>
      <c r="P220" s="1" t="str">
        <f>LEFT(Int_breweries[[#This Row],[MONTHS]], 3)</f>
        <v>Mar</v>
      </c>
    </row>
    <row r="221" spans="1:16" ht="12.5" x14ac:dyDescent="0.25">
      <c r="A221" s="1">
        <v>10320</v>
      </c>
      <c r="B221" s="1" t="s">
        <v>12</v>
      </c>
      <c r="C221" s="1" t="s">
        <v>13</v>
      </c>
      <c r="D221" t="s">
        <v>65</v>
      </c>
      <c r="E221" s="1">
        <v>180</v>
      </c>
      <c r="F221" s="1">
        <v>450</v>
      </c>
      <c r="G221" s="1">
        <v>818</v>
      </c>
      <c r="H221" s="1">
        <f>Int_breweries[[#This Row],[PLANT_COST]]*Int_breweries[[#This Row],[QUANTITY]]</f>
        <v>147240</v>
      </c>
      <c r="I221" s="1">
        <v>368100</v>
      </c>
      <c r="J221" s="1">
        <v>220860</v>
      </c>
      <c r="K221" s="1" t="s">
        <v>32</v>
      </c>
      <c r="L221" t="s">
        <v>58</v>
      </c>
      <c r="M221" s="1" t="s">
        <v>29</v>
      </c>
      <c r="N221" s="1">
        <v>2017</v>
      </c>
      <c r="O221" t="str" cm="1">
        <f t="array" ref="O221">_xlfn.IFS(OR($K221="Ghana", $K221="Nigeria"), "Anglophone", OR($K221="Togo", $K221="Benin", $K221="Senegal"), "Francophone")</f>
        <v>Francophone</v>
      </c>
      <c r="P221" s="1" t="str">
        <f>LEFT(Int_breweries[[#This Row],[MONTHS]], 3)</f>
        <v>Apr</v>
      </c>
    </row>
    <row r="222" spans="1:16" ht="12.5" x14ac:dyDescent="0.25">
      <c r="A222" s="1">
        <v>10321</v>
      </c>
      <c r="B222" s="1" t="s">
        <v>35</v>
      </c>
      <c r="C222" s="1" t="s">
        <v>36</v>
      </c>
      <c r="D222" t="s">
        <v>66</v>
      </c>
      <c r="E222" s="1">
        <v>170</v>
      </c>
      <c r="F222" s="1">
        <v>250</v>
      </c>
      <c r="G222" s="1">
        <v>781</v>
      </c>
      <c r="H222" s="1">
        <f>Int_breweries[[#This Row],[PLANT_COST]]*Int_breweries[[#This Row],[QUANTITY]]</f>
        <v>132770</v>
      </c>
      <c r="I222" s="1">
        <v>195250</v>
      </c>
      <c r="J222" s="1">
        <v>62480</v>
      </c>
      <c r="K222" s="1" t="s">
        <v>14</v>
      </c>
      <c r="L222" t="s">
        <v>59</v>
      </c>
      <c r="M222" s="1" t="s">
        <v>33</v>
      </c>
      <c r="N222" s="1">
        <v>2017</v>
      </c>
      <c r="O222" t="str" cm="1">
        <f t="array" ref="O222">_xlfn.IFS(OR($K222="Ghana", $K222="Nigeria"), "Anglophone", OR($K222="Togo", $K222="Benin", $K222="Senegal"), "Francophone")</f>
        <v>Anglophone</v>
      </c>
      <c r="P222" s="1" t="str">
        <f>LEFT(Int_breweries[[#This Row],[MONTHS]], 3)</f>
        <v>May</v>
      </c>
    </row>
    <row r="223" spans="1:16" ht="12.5" x14ac:dyDescent="0.25">
      <c r="A223" s="1">
        <v>10322</v>
      </c>
      <c r="B223" s="1" t="s">
        <v>26</v>
      </c>
      <c r="C223" s="1" t="s">
        <v>27</v>
      </c>
      <c r="D223" t="s">
        <v>67</v>
      </c>
      <c r="E223" s="1">
        <v>150</v>
      </c>
      <c r="F223" s="1">
        <v>200</v>
      </c>
      <c r="G223" s="1">
        <v>910</v>
      </c>
      <c r="H223" s="1">
        <f>Int_breweries[[#This Row],[PLANT_COST]]*Int_breweries[[#This Row],[QUANTITY]]</f>
        <v>136500</v>
      </c>
      <c r="I223" s="1">
        <v>182000</v>
      </c>
      <c r="J223" s="1">
        <v>45500</v>
      </c>
      <c r="K223" s="1" t="s">
        <v>19</v>
      </c>
      <c r="L223" t="s">
        <v>60</v>
      </c>
      <c r="M223" s="1" t="s">
        <v>34</v>
      </c>
      <c r="N223" s="1">
        <v>2018</v>
      </c>
      <c r="O223" t="str" cm="1">
        <f t="array" ref="O223">_xlfn.IFS(OR($K223="Ghana", $K223="Nigeria"), "Anglophone", OR($K223="Togo", $K223="Benin", $K223="Senegal"), "Francophone")</f>
        <v>Anglophone</v>
      </c>
      <c r="P223" s="1" t="str">
        <f>LEFT(Int_breweries[[#This Row],[MONTHS]], 3)</f>
        <v>Jun</v>
      </c>
    </row>
    <row r="224" spans="1:16" ht="12.5" x14ac:dyDescent="0.25">
      <c r="A224" s="1">
        <v>10323</v>
      </c>
      <c r="B224" s="1" t="s">
        <v>39</v>
      </c>
      <c r="C224" s="1" t="s">
        <v>40</v>
      </c>
      <c r="D224" t="s">
        <v>68</v>
      </c>
      <c r="E224" s="1">
        <v>80</v>
      </c>
      <c r="F224" s="1">
        <v>150</v>
      </c>
      <c r="G224" s="1">
        <v>704</v>
      </c>
      <c r="H224" s="1">
        <f>Int_breweries[[#This Row],[PLANT_COST]]*Int_breweries[[#This Row],[QUANTITY]]</f>
        <v>56320</v>
      </c>
      <c r="I224" s="1">
        <v>105600</v>
      </c>
      <c r="J224" s="1">
        <v>49280</v>
      </c>
      <c r="K224" s="1" t="s">
        <v>24</v>
      </c>
      <c r="L224" t="s">
        <v>61</v>
      </c>
      <c r="M224" s="1" t="s">
        <v>37</v>
      </c>
      <c r="N224" s="1">
        <v>2019</v>
      </c>
      <c r="O224" t="str" cm="1">
        <f t="array" ref="O224">_xlfn.IFS(OR($K224="Ghana", $K224="Nigeria"), "Anglophone", OR($K224="Togo", $K224="Benin", $K224="Senegal"), "Francophone")</f>
        <v>Francophone</v>
      </c>
      <c r="P224" s="1" t="str">
        <f>LEFT(Int_breweries[[#This Row],[MONTHS]], 3)</f>
        <v>Jul</v>
      </c>
    </row>
    <row r="225" spans="1:16" ht="12.5" x14ac:dyDescent="0.25">
      <c r="A225" s="1">
        <v>10324</v>
      </c>
      <c r="B225" s="1" t="s">
        <v>42</v>
      </c>
      <c r="C225" s="1" t="s">
        <v>43</v>
      </c>
      <c r="D225" t="s">
        <v>69</v>
      </c>
      <c r="E225" s="1">
        <v>90</v>
      </c>
      <c r="F225" s="1">
        <v>150</v>
      </c>
      <c r="G225" s="1">
        <v>824</v>
      </c>
      <c r="H225" s="1">
        <f>Int_breweries[[#This Row],[PLANT_COST]]*Int_breweries[[#This Row],[QUANTITY]]</f>
        <v>74160</v>
      </c>
      <c r="I225" s="1">
        <v>123600</v>
      </c>
      <c r="J225" s="1">
        <v>49440</v>
      </c>
      <c r="K225" s="1" t="s">
        <v>28</v>
      </c>
      <c r="L225" t="s">
        <v>62</v>
      </c>
      <c r="M225" s="1" t="s">
        <v>38</v>
      </c>
      <c r="N225" s="1">
        <v>2018</v>
      </c>
      <c r="O225" t="str" cm="1">
        <f t="array" ref="O225">_xlfn.IFS(OR($K225="Ghana", $K225="Nigeria"), "Anglophone", OR($K225="Togo", $K225="Benin", $K225="Senegal"), "Francophone")</f>
        <v>Francophone</v>
      </c>
      <c r="P225" s="1" t="str">
        <f>LEFT(Int_breweries[[#This Row],[MONTHS]], 3)</f>
        <v>Aug</v>
      </c>
    </row>
    <row r="226" spans="1:16" ht="12.5" x14ac:dyDescent="0.25">
      <c r="A226" s="1">
        <v>10325</v>
      </c>
      <c r="B226" s="1" t="s">
        <v>45</v>
      </c>
      <c r="C226" s="1" t="s">
        <v>46</v>
      </c>
      <c r="D226" t="s">
        <v>63</v>
      </c>
      <c r="E226" s="1">
        <v>150</v>
      </c>
      <c r="F226" s="1">
        <v>200</v>
      </c>
      <c r="G226" s="1">
        <v>710</v>
      </c>
      <c r="H226" s="1">
        <f>Int_breweries[[#This Row],[PLANT_COST]]*Int_breweries[[#This Row],[QUANTITY]]</f>
        <v>106500</v>
      </c>
      <c r="I226" s="1">
        <v>142000</v>
      </c>
      <c r="J226" s="1">
        <v>35500</v>
      </c>
      <c r="K226" s="1" t="s">
        <v>32</v>
      </c>
      <c r="L226" t="s">
        <v>15</v>
      </c>
      <c r="M226" s="1" t="s">
        <v>41</v>
      </c>
      <c r="N226" s="1">
        <v>2019</v>
      </c>
      <c r="O226" t="str" cm="1">
        <f t="array" ref="O226">_xlfn.IFS(OR($K226="Ghana", $K226="Nigeria"), "Anglophone", OR($K226="Togo", $K226="Benin", $K226="Senegal"), "Francophone")</f>
        <v>Francophone</v>
      </c>
      <c r="P226" s="1" t="str">
        <f>LEFT(Int_breweries[[#This Row],[MONTHS]], 3)</f>
        <v>Sep</v>
      </c>
    </row>
    <row r="227" spans="1:16" ht="12.5" x14ac:dyDescent="0.25">
      <c r="A227" s="1">
        <v>10326</v>
      </c>
      <c r="B227" s="1" t="s">
        <v>26</v>
      </c>
      <c r="C227" s="1" t="s">
        <v>27</v>
      </c>
      <c r="D227" t="s">
        <v>64</v>
      </c>
      <c r="E227" s="1">
        <v>250</v>
      </c>
      <c r="F227" s="1">
        <v>500</v>
      </c>
      <c r="G227" s="1">
        <v>913</v>
      </c>
      <c r="H227" s="1">
        <f>Int_breweries[[#This Row],[PLANT_COST]]*Int_breweries[[#This Row],[QUANTITY]]</f>
        <v>228250</v>
      </c>
      <c r="I227" s="1">
        <v>456500</v>
      </c>
      <c r="J227" s="1">
        <v>228250</v>
      </c>
      <c r="K227" s="1" t="s">
        <v>14</v>
      </c>
      <c r="L227" t="s">
        <v>58</v>
      </c>
      <c r="M227" s="1" t="s">
        <v>44</v>
      </c>
      <c r="N227" s="1">
        <v>2018</v>
      </c>
      <c r="O227" t="str" cm="1">
        <f t="array" ref="O227">_xlfn.IFS(OR($K227="Ghana", $K227="Nigeria"), "Anglophone", OR($K227="Togo", $K227="Benin", $K227="Senegal"), "Francophone")</f>
        <v>Anglophone</v>
      </c>
      <c r="P227" s="1" t="str">
        <f>LEFT(Int_breweries[[#This Row],[MONTHS]], 3)</f>
        <v>Oct</v>
      </c>
    </row>
    <row r="228" spans="1:16" ht="12.5" x14ac:dyDescent="0.25">
      <c r="A228" s="1">
        <v>10327</v>
      </c>
      <c r="B228" s="1" t="s">
        <v>49</v>
      </c>
      <c r="C228" s="1" t="s">
        <v>50</v>
      </c>
      <c r="D228" t="s">
        <v>65</v>
      </c>
      <c r="E228" s="1">
        <v>180</v>
      </c>
      <c r="F228" s="1">
        <v>450</v>
      </c>
      <c r="G228" s="1">
        <v>983</v>
      </c>
      <c r="H228" s="1">
        <f>Int_breweries[[#This Row],[PLANT_COST]]*Int_breweries[[#This Row],[QUANTITY]]</f>
        <v>176940</v>
      </c>
      <c r="I228" s="1">
        <v>442350</v>
      </c>
      <c r="J228" s="1">
        <v>265410</v>
      </c>
      <c r="K228" s="1" t="s">
        <v>19</v>
      </c>
      <c r="L228" t="s">
        <v>59</v>
      </c>
      <c r="M228" s="1" t="s">
        <v>47</v>
      </c>
      <c r="N228" s="1">
        <v>2018</v>
      </c>
      <c r="O228" t="str" cm="1">
        <f t="array" ref="O228">_xlfn.IFS(OR($K228="Ghana", $K228="Nigeria"), "Anglophone", OR($K228="Togo", $K228="Benin", $K228="Senegal"), "Francophone")</f>
        <v>Anglophone</v>
      </c>
      <c r="P228" s="1" t="str">
        <f>LEFT(Int_breweries[[#This Row],[MONTHS]], 3)</f>
        <v>Nov</v>
      </c>
    </row>
    <row r="229" spans="1:16" ht="12.5" x14ac:dyDescent="0.25">
      <c r="A229" s="1">
        <v>10328</v>
      </c>
      <c r="B229" s="1" t="s">
        <v>26</v>
      </c>
      <c r="C229" s="1" t="s">
        <v>27</v>
      </c>
      <c r="D229" t="s">
        <v>66</v>
      </c>
      <c r="E229" s="1">
        <v>170</v>
      </c>
      <c r="F229" s="1">
        <v>250</v>
      </c>
      <c r="G229" s="1">
        <v>706</v>
      </c>
      <c r="H229" s="1">
        <f>Int_breweries[[#This Row],[PLANT_COST]]*Int_breweries[[#This Row],[QUANTITY]]</f>
        <v>120020</v>
      </c>
      <c r="I229" s="1">
        <v>176500</v>
      </c>
      <c r="J229" s="1">
        <v>56480</v>
      </c>
      <c r="K229" s="1" t="s">
        <v>24</v>
      </c>
      <c r="L229" t="s">
        <v>60</v>
      </c>
      <c r="M229" s="1" t="s">
        <v>48</v>
      </c>
      <c r="N229" s="1">
        <v>2019</v>
      </c>
      <c r="O229" t="str" cm="1">
        <f t="array" ref="O229">_xlfn.IFS(OR($K229="Ghana", $K229="Nigeria"), "Anglophone", OR($K229="Togo", $K229="Benin", $K229="Senegal"), "Francophone")</f>
        <v>Francophone</v>
      </c>
      <c r="P229" s="1" t="str">
        <f>LEFT(Int_breweries[[#This Row],[MONTHS]], 3)</f>
        <v>Dec</v>
      </c>
    </row>
    <row r="230" spans="1:16" ht="12.5" x14ac:dyDescent="0.25">
      <c r="A230" s="1">
        <v>10329</v>
      </c>
      <c r="B230" s="1" t="s">
        <v>39</v>
      </c>
      <c r="C230" s="1" t="s">
        <v>40</v>
      </c>
      <c r="D230" t="s">
        <v>67</v>
      </c>
      <c r="E230" s="1">
        <v>150</v>
      </c>
      <c r="F230" s="1">
        <v>200</v>
      </c>
      <c r="G230" s="1">
        <v>819</v>
      </c>
      <c r="H230" s="1">
        <f>Int_breweries[[#This Row],[PLANT_COST]]*Int_breweries[[#This Row],[QUANTITY]]</f>
        <v>122850</v>
      </c>
      <c r="I230" s="1">
        <v>163800</v>
      </c>
      <c r="J230" s="1">
        <v>40950</v>
      </c>
      <c r="K230" s="1" t="s">
        <v>28</v>
      </c>
      <c r="L230" t="s">
        <v>61</v>
      </c>
      <c r="M230" s="1" t="s">
        <v>16</v>
      </c>
      <c r="N230" s="1">
        <v>2018</v>
      </c>
      <c r="O230" t="str" cm="1">
        <f t="array" ref="O230">_xlfn.IFS(OR($K230="Ghana", $K230="Nigeria"), "Anglophone", OR($K230="Togo", $K230="Benin", $K230="Senegal"), "Francophone")</f>
        <v>Francophone</v>
      </c>
      <c r="P230" s="1" t="str">
        <f>LEFT(Int_breweries[[#This Row],[MONTHS]], 3)</f>
        <v>Jan</v>
      </c>
    </row>
    <row r="231" spans="1:16" ht="12.5" x14ac:dyDescent="0.25">
      <c r="A231" s="1">
        <v>10330</v>
      </c>
      <c r="B231" s="1" t="s">
        <v>26</v>
      </c>
      <c r="C231" s="1" t="s">
        <v>27</v>
      </c>
      <c r="D231" t="s">
        <v>68</v>
      </c>
      <c r="E231" s="1">
        <v>80</v>
      </c>
      <c r="F231" s="1">
        <v>150</v>
      </c>
      <c r="G231" s="1">
        <v>762</v>
      </c>
      <c r="H231" s="1">
        <f>Int_breweries[[#This Row],[PLANT_COST]]*Int_breweries[[#This Row],[QUANTITY]]</f>
        <v>60960</v>
      </c>
      <c r="I231" s="1">
        <v>114300</v>
      </c>
      <c r="J231" s="1">
        <v>53340</v>
      </c>
      <c r="K231" s="1" t="s">
        <v>32</v>
      </c>
      <c r="L231" t="s">
        <v>62</v>
      </c>
      <c r="M231" s="1" t="s">
        <v>21</v>
      </c>
      <c r="N231" s="1">
        <v>2018</v>
      </c>
      <c r="O231" t="str" cm="1">
        <f t="array" ref="O231">_xlfn.IFS(OR($K231="Ghana", $K231="Nigeria"), "Anglophone", OR($K231="Togo", $K231="Benin", $K231="Senegal"), "Francophone")</f>
        <v>Francophone</v>
      </c>
      <c r="P231" s="1" t="str">
        <f>LEFT(Int_breweries[[#This Row],[MONTHS]], 3)</f>
        <v>Feb</v>
      </c>
    </row>
    <row r="232" spans="1:16" ht="12.5" x14ac:dyDescent="0.25">
      <c r="A232" s="1">
        <v>10331</v>
      </c>
      <c r="B232" s="1" t="s">
        <v>45</v>
      </c>
      <c r="C232" s="1" t="s">
        <v>46</v>
      </c>
      <c r="D232" t="s">
        <v>69</v>
      </c>
      <c r="E232" s="1">
        <v>90</v>
      </c>
      <c r="F232" s="1">
        <v>150</v>
      </c>
      <c r="G232" s="1">
        <v>760</v>
      </c>
      <c r="H232" s="1">
        <f>Int_breweries[[#This Row],[PLANT_COST]]*Int_breweries[[#This Row],[QUANTITY]]</f>
        <v>68400</v>
      </c>
      <c r="I232" s="1">
        <v>114000</v>
      </c>
      <c r="J232" s="1">
        <v>45600</v>
      </c>
      <c r="K232" s="1" t="s">
        <v>14</v>
      </c>
      <c r="L232" t="s">
        <v>15</v>
      </c>
      <c r="M232" s="1" t="s">
        <v>25</v>
      </c>
      <c r="N232" s="1">
        <v>2019</v>
      </c>
      <c r="O232" t="str" cm="1">
        <f t="array" ref="O232">_xlfn.IFS(OR($K232="Ghana", $K232="Nigeria"), "Anglophone", OR($K232="Togo", $K232="Benin", $K232="Senegal"), "Francophone")</f>
        <v>Anglophone</v>
      </c>
      <c r="P232" s="1" t="str">
        <f>LEFT(Int_breweries[[#This Row],[MONTHS]], 3)</f>
        <v>Mar</v>
      </c>
    </row>
    <row r="233" spans="1:16" ht="12.5" x14ac:dyDescent="0.25">
      <c r="A233" s="1">
        <v>10332</v>
      </c>
      <c r="B233" s="1" t="s">
        <v>51</v>
      </c>
      <c r="C233" s="1" t="s">
        <v>52</v>
      </c>
      <c r="D233" t="s">
        <v>63</v>
      </c>
      <c r="E233" s="1">
        <v>150</v>
      </c>
      <c r="F233" s="1">
        <v>200</v>
      </c>
      <c r="G233" s="1">
        <v>872</v>
      </c>
      <c r="H233" s="1">
        <f>Int_breweries[[#This Row],[PLANT_COST]]*Int_breweries[[#This Row],[QUANTITY]]</f>
        <v>130800</v>
      </c>
      <c r="I233" s="1">
        <v>174400</v>
      </c>
      <c r="J233" s="1">
        <v>43600</v>
      </c>
      <c r="K233" s="1" t="s">
        <v>19</v>
      </c>
      <c r="L233" t="s">
        <v>58</v>
      </c>
      <c r="M233" s="1" t="s">
        <v>29</v>
      </c>
      <c r="N233" s="1">
        <v>2019</v>
      </c>
      <c r="O233" t="str" cm="1">
        <f t="array" ref="O233">_xlfn.IFS(OR($K233="Ghana", $K233="Nigeria"), "Anglophone", OR($K233="Togo", $K233="Benin", $K233="Senegal"), "Francophone")</f>
        <v>Anglophone</v>
      </c>
      <c r="P233" s="1" t="str">
        <f>LEFT(Int_breweries[[#This Row],[MONTHS]], 3)</f>
        <v>Apr</v>
      </c>
    </row>
    <row r="234" spans="1:16" ht="12.5" x14ac:dyDescent="0.25">
      <c r="A234" s="1">
        <v>10333</v>
      </c>
      <c r="B234" s="1" t="s">
        <v>49</v>
      </c>
      <c r="C234" s="1" t="s">
        <v>50</v>
      </c>
      <c r="D234" t="s">
        <v>64</v>
      </c>
      <c r="E234" s="1">
        <v>250</v>
      </c>
      <c r="F234" s="1">
        <v>500</v>
      </c>
      <c r="G234" s="1">
        <v>723</v>
      </c>
      <c r="H234" s="1">
        <f>Int_breweries[[#This Row],[PLANT_COST]]*Int_breweries[[#This Row],[QUANTITY]]</f>
        <v>180750</v>
      </c>
      <c r="I234" s="1">
        <v>361500</v>
      </c>
      <c r="J234" s="1">
        <v>180750</v>
      </c>
      <c r="K234" s="1" t="s">
        <v>24</v>
      </c>
      <c r="L234" t="s">
        <v>59</v>
      </c>
      <c r="M234" s="1" t="s">
        <v>33</v>
      </c>
      <c r="N234" s="1">
        <v>2019</v>
      </c>
      <c r="O234" t="str" cm="1">
        <f t="array" ref="O234">_xlfn.IFS(OR($K234="Ghana", $K234="Nigeria"), "Anglophone", OR($K234="Togo", $K234="Benin", $K234="Senegal"), "Francophone")</f>
        <v>Francophone</v>
      </c>
      <c r="P234" s="1" t="str">
        <f>LEFT(Int_breweries[[#This Row],[MONTHS]], 3)</f>
        <v>May</v>
      </c>
    </row>
    <row r="235" spans="1:16" ht="12.5" x14ac:dyDescent="0.25">
      <c r="A235" s="1">
        <v>10334</v>
      </c>
      <c r="B235" s="1" t="s">
        <v>45</v>
      </c>
      <c r="C235" s="1" t="s">
        <v>46</v>
      </c>
      <c r="D235" t="s">
        <v>65</v>
      </c>
      <c r="E235" s="1">
        <v>180</v>
      </c>
      <c r="F235" s="1">
        <v>450</v>
      </c>
      <c r="G235" s="1">
        <v>913</v>
      </c>
      <c r="H235" s="1">
        <f>Int_breweries[[#This Row],[PLANT_COST]]*Int_breweries[[#This Row],[QUANTITY]]</f>
        <v>164340</v>
      </c>
      <c r="I235" s="1">
        <v>410850</v>
      </c>
      <c r="J235" s="1">
        <v>246510</v>
      </c>
      <c r="K235" s="1" t="s">
        <v>28</v>
      </c>
      <c r="L235" t="s">
        <v>60</v>
      </c>
      <c r="M235" s="1" t="s">
        <v>34</v>
      </c>
      <c r="N235" s="1">
        <v>2019</v>
      </c>
      <c r="O235" t="str" cm="1">
        <f t="array" ref="O235">_xlfn.IFS(OR($K235="Ghana", $K235="Nigeria"), "Anglophone", OR($K235="Togo", $K235="Benin", $K235="Senegal"), "Francophone")</f>
        <v>Francophone</v>
      </c>
      <c r="P235" s="1" t="str">
        <f>LEFT(Int_breweries[[#This Row],[MONTHS]], 3)</f>
        <v>Jun</v>
      </c>
    </row>
    <row r="236" spans="1:16" ht="12.5" x14ac:dyDescent="0.25">
      <c r="A236" s="1">
        <v>10335</v>
      </c>
      <c r="B236" s="1" t="s">
        <v>17</v>
      </c>
      <c r="C236" s="1" t="s">
        <v>18</v>
      </c>
      <c r="D236" t="s">
        <v>66</v>
      </c>
      <c r="E236" s="1">
        <v>170</v>
      </c>
      <c r="F236" s="1">
        <v>250</v>
      </c>
      <c r="G236" s="1">
        <v>852</v>
      </c>
      <c r="H236" s="1">
        <f>Int_breweries[[#This Row],[PLANT_COST]]*Int_breweries[[#This Row],[QUANTITY]]</f>
        <v>144840</v>
      </c>
      <c r="I236" s="1">
        <v>213000</v>
      </c>
      <c r="J236" s="1">
        <v>68160</v>
      </c>
      <c r="K236" s="1" t="s">
        <v>32</v>
      </c>
      <c r="L236" t="s">
        <v>61</v>
      </c>
      <c r="M236" s="1" t="s">
        <v>37</v>
      </c>
      <c r="N236" s="1">
        <v>2017</v>
      </c>
      <c r="O236" t="str" cm="1">
        <f t="array" ref="O236">_xlfn.IFS(OR($K236="Ghana", $K236="Nigeria"), "Anglophone", OR($K236="Togo", $K236="Benin", $K236="Senegal"), "Francophone")</f>
        <v>Francophone</v>
      </c>
      <c r="P236" s="1" t="str">
        <f>LEFT(Int_breweries[[#This Row],[MONTHS]], 3)</f>
        <v>Jul</v>
      </c>
    </row>
    <row r="237" spans="1:16" ht="12.5" x14ac:dyDescent="0.25">
      <c r="A237" s="1">
        <v>10336</v>
      </c>
      <c r="B237" s="1" t="s">
        <v>49</v>
      </c>
      <c r="C237" s="1" t="s">
        <v>50</v>
      </c>
      <c r="D237" t="s">
        <v>67</v>
      </c>
      <c r="E237" s="1">
        <v>150</v>
      </c>
      <c r="F237" s="1">
        <v>200</v>
      </c>
      <c r="G237" s="1">
        <v>856</v>
      </c>
      <c r="H237" s="1">
        <f>Int_breweries[[#This Row],[PLANT_COST]]*Int_breweries[[#This Row],[QUANTITY]]</f>
        <v>128400</v>
      </c>
      <c r="I237" s="1">
        <v>171200</v>
      </c>
      <c r="J237" s="1">
        <v>42800</v>
      </c>
      <c r="K237" s="1" t="s">
        <v>14</v>
      </c>
      <c r="L237" t="s">
        <v>62</v>
      </c>
      <c r="M237" s="1" t="s">
        <v>38</v>
      </c>
      <c r="N237" s="1">
        <v>2019</v>
      </c>
      <c r="O237" t="str" cm="1">
        <f t="array" ref="O237">_xlfn.IFS(OR($K237="Ghana", $K237="Nigeria"), "Anglophone", OR($K237="Togo", $K237="Benin", $K237="Senegal"), "Francophone")</f>
        <v>Anglophone</v>
      </c>
      <c r="P237" s="1" t="str">
        <f>LEFT(Int_breweries[[#This Row],[MONTHS]], 3)</f>
        <v>Aug</v>
      </c>
    </row>
    <row r="238" spans="1:16" ht="12.5" x14ac:dyDescent="0.25">
      <c r="A238" s="1">
        <v>10337</v>
      </c>
      <c r="B238" s="1" t="s">
        <v>26</v>
      </c>
      <c r="C238" s="1" t="s">
        <v>27</v>
      </c>
      <c r="D238" t="s">
        <v>68</v>
      </c>
      <c r="E238" s="1">
        <v>80</v>
      </c>
      <c r="F238" s="1">
        <v>150</v>
      </c>
      <c r="G238" s="1">
        <v>827</v>
      </c>
      <c r="H238" s="1">
        <f>Int_breweries[[#This Row],[PLANT_COST]]*Int_breweries[[#This Row],[QUANTITY]]</f>
        <v>66160</v>
      </c>
      <c r="I238" s="1">
        <v>124050</v>
      </c>
      <c r="J238" s="1">
        <v>57890</v>
      </c>
      <c r="K238" s="1" t="s">
        <v>19</v>
      </c>
      <c r="L238" t="s">
        <v>15</v>
      </c>
      <c r="M238" s="1" t="s">
        <v>41</v>
      </c>
      <c r="N238" s="1">
        <v>2019</v>
      </c>
      <c r="O238" t="str" cm="1">
        <f t="array" ref="O238">_xlfn.IFS(OR($K238="Ghana", $K238="Nigeria"), "Anglophone", OR($K238="Togo", $K238="Benin", $K238="Senegal"), "Francophone")</f>
        <v>Anglophone</v>
      </c>
      <c r="P238" s="1" t="str">
        <f>LEFT(Int_breweries[[#This Row],[MONTHS]], 3)</f>
        <v>Sep</v>
      </c>
    </row>
    <row r="239" spans="1:16" ht="12.5" x14ac:dyDescent="0.25">
      <c r="A239" s="1">
        <v>10338</v>
      </c>
      <c r="B239" s="1" t="s">
        <v>22</v>
      </c>
      <c r="C239" s="1" t="s">
        <v>23</v>
      </c>
      <c r="D239" t="s">
        <v>69</v>
      </c>
      <c r="E239" s="1">
        <v>90</v>
      </c>
      <c r="F239" s="1">
        <v>150</v>
      </c>
      <c r="G239" s="1">
        <v>735</v>
      </c>
      <c r="H239" s="1">
        <f>Int_breweries[[#This Row],[PLANT_COST]]*Int_breweries[[#This Row],[QUANTITY]]</f>
        <v>66150</v>
      </c>
      <c r="I239" s="1">
        <v>110250</v>
      </c>
      <c r="J239" s="1">
        <v>44100</v>
      </c>
      <c r="K239" s="1" t="s">
        <v>24</v>
      </c>
      <c r="L239" t="s">
        <v>58</v>
      </c>
      <c r="M239" s="1" t="s">
        <v>44</v>
      </c>
      <c r="N239" s="1">
        <v>2017</v>
      </c>
      <c r="O239" t="str" cm="1">
        <f t="array" ref="O239">_xlfn.IFS(OR($K239="Ghana", $K239="Nigeria"), "Anglophone", OR($K239="Togo", $K239="Benin", $K239="Senegal"), "Francophone")</f>
        <v>Francophone</v>
      </c>
      <c r="P239" s="1" t="str">
        <f>LEFT(Int_breweries[[#This Row],[MONTHS]], 3)</f>
        <v>Oct</v>
      </c>
    </row>
    <row r="240" spans="1:16" ht="12.5" x14ac:dyDescent="0.25">
      <c r="A240" s="1">
        <v>10339</v>
      </c>
      <c r="B240" s="1" t="s">
        <v>12</v>
      </c>
      <c r="C240" s="1" t="s">
        <v>13</v>
      </c>
      <c r="D240" t="s">
        <v>63</v>
      </c>
      <c r="E240" s="1">
        <v>150</v>
      </c>
      <c r="F240" s="1">
        <v>200</v>
      </c>
      <c r="G240" s="1">
        <v>819</v>
      </c>
      <c r="H240" s="1">
        <f>Int_breweries[[#This Row],[PLANT_COST]]*Int_breweries[[#This Row],[QUANTITY]]</f>
        <v>122850</v>
      </c>
      <c r="I240" s="1">
        <v>163800</v>
      </c>
      <c r="J240" s="1">
        <v>40950</v>
      </c>
      <c r="K240" s="1" t="s">
        <v>28</v>
      </c>
      <c r="L240" t="s">
        <v>59</v>
      </c>
      <c r="M240" s="1" t="s">
        <v>47</v>
      </c>
      <c r="N240" s="1">
        <v>2019</v>
      </c>
      <c r="O240" t="str" cm="1">
        <f t="array" ref="O240">_xlfn.IFS(OR($K240="Ghana", $K240="Nigeria"), "Anglophone", OR($K240="Togo", $K240="Benin", $K240="Senegal"), "Francophone")</f>
        <v>Francophone</v>
      </c>
      <c r="P240" s="1" t="str">
        <f>LEFT(Int_breweries[[#This Row],[MONTHS]], 3)</f>
        <v>Nov</v>
      </c>
    </row>
    <row r="241" spans="1:16" ht="12.5" x14ac:dyDescent="0.25">
      <c r="A241" s="1">
        <v>10340</v>
      </c>
      <c r="B241" s="1" t="s">
        <v>30</v>
      </c>
      <c r="C241" s="1" t="s">
        <v>31</v>
      </c>
      <c r="D241" t="s">
        <v>64</v>
      </c>
      <c r="E241" s="1">
        <v>250</v>
      </c>
      <c r="F241" s="1">
        <v>500</v>
      </c>
      <c r="G241" s="1">
        <v>882</v>
      </c>
      <c r="H241" s="1">
        <f>Int_breweries[[#This Row],[PLANT_COST]]*Int_breweries[[#This Row],[QUANTITY]]</f>
        <v>220500</v>
      </c>
      <c r="I241" s="1">
        <v>441000</v>
      </c>
      <c r="J241" s="1">
        <v>220500</v>
      </c>
      <c r="K241" s="1" t="s">
        <v>32</v>
      </c>
      <c r="L241" t="s">
        <v>60</v>
      </c>
      <c r="M241" s="1" t="s">
        <v>48</v>
      </c>
      <c r="N241" s="1">
        <v>2018</v>
      </c>
      <c r="O241" t="str" cm="1">
        <f t="array" ref="O241">_xlfn.IFS(OR($K241="Ghana", $K241="Nigeria"), "Anglophone", OR($K241="Togo", $K241="Benin", $K241="Senegal"), "Francophone")</f>
        <v>Francophone</v>
      </c>
      <c r="P241" s="1" t="str">
        <f>LEFT(Int_breweries[[#This Row],[MONTHS]], 3)</f>
        <v>Dec</v>
      </c>
    </row>
    <row r="242" spans="1:16" ht="12.5" x14ac:dyDescent="0.25">
      <c r="A242" s="1">
        <v>10341</v>
      </c>
      <c r="B242" s="1" t="s">
        <v>42</v>
      </c>
      <c r="C242" s="1" t="s">
        <v>43</v>
      </c>
      <c r="D242" t="s">
        <v>65</v>
      </c>
      <c r="E242" s="1">
        <v>180</v>
      </c>
      <c r="F242" s="1">
        <v>450</v>
      </c>
      <c r="G242" s="1">
        <v>897</v>
      </c>
      <c r="H242" s="1">
        <f>Int_breweries[[#This Row],[PLANT_COST]]*Int_breweries[[#This Row],[QUANTITY]]</f>
        <v>161460</v>
      </c>
      <c r="I242" s="1">
        <v>403650</v>
      </c>
      <c r="J242" s="1">
        <v>242190</v>
      </c>
      <c r="K242" s="1" t="s">
        <v>14</v>
      </c>
      <c r="L242" t="s">
        <v>61</v>
      </c>
      <c r="M242" s="1" t="s">
        <v>16</v>
      </c>
      <c r="N242" s="1">
        <v>2017</v>
      </c>
      <c r="O242" t="str" cm="1">
        <f t="array" ref="O242">_xlfn.IFS(OR($K242="Ghana", $K242="Nigeria"), "Anglophone", OR($K242="Togo", $K242="Benin", $K242="Senegal"), "Francophone")</f>
        <v>Anglophone</v>
      </c>
      <c r="P242" s="1" t="str">
        <f>LEFT(Int_breweries[[#This Row],[MONTHS]], 3)</f>
        <v>Jan</v>
      </c>
    </row>
    <row r="243" spans="1:16" ht="12.5" x14ac:dyDescent="0.25">
      <c r="A243" s="1">
        <v>10342</v>
      </c>
      <c r="B243" s="1" t="s">
        <v>17</v>
      </c>
      <c r="C243" s="1" t="s">
        <v>18</v>
      </c>
      <c r="D243" t="s">
        <v>66</v>
      </c>
      <c r="E243" s="1">
        <v>170</v>
      </c>
      <c r="F243" s="1">
        <v>250</v>
      </c>
      <c r="G243" s="1">
        <v>922</v>
      </c>
      <c r="H243" s="1">
        <f>Int_breweries[[#This Row],[PLANT_COST]]*Int_breweries[[#This Row],[QUANTITY]]</f>
        <v>156740</v>
      </c>
      <c r="I243" s="1">
        <v>230500</v>
      </c>
      <c r="J243" s="1">
        <v>73760</v>
      </c>
      <c r="K243" s="1" t="s">
        <v>19</v>
      </c>
      <c r="L243" t="s">
        <v>62</v>
      </c>
      <c r="M243" s="1" t="s">
        <v>21</v>
      </c>
      <c r="N243" s="1">
        <v>2018</v>
      </c>
      <c r="O243" t="str" cm="1">
        <f t="array" ref="O243">_xlfn.IFS(OR($K243="Ghana", $K243="Nigeria"), "Anglophone", OR($K243="Togo", $K243="Benin", $K243="Senegal"), "Francophone")</f>
        <v>Anglophone</v>
      </c>
      <c r="P243" s="1" t="str">
        <f>LEFT(Int_breweries[[#This Row],[MONTHS]], 3)</f>
        <v>Feb</v>
      </c>
    </row>
    <row r="244" spans="1:16" ht="12.5" x14ac:dyDescent="0.25">
      <c r="A244" s="1">
        <v>10343</v>
      </c>
      <c r="B244" s="1" t="s">
        <v>17</v>
      </c>
      <c r="C244" s="1" t="s">
        <v>18</v>
      </c>
      <c r="D244" t="s">
        <v>67</v>
      </c>
      <c r="E244" s="1">
        <v>150</v>
      </c>
      <c r="F244" s="1">
        <v>200</v>
      </c>
      <c r="G244" s="1">
        <v>838</v>
      </c>
      <c r="H244" s="1">
        <f>Int_breweries[[#This Row],[PLANT_COST]]*Int_breweries[[#This Row],[QUANTITY]]</f>
        <v>125700</v>
      </c>
      <c r="I244" s="1">
        <v>167600</v>
      </c>
      <c r="J244" s="1">
        <v>41900</v>
      </c>
      <c r="K244" s="1" t="s">
        <v>24</v>
      </c>
      <c r="L244" t="s">
        <v>15</v>
      </c>
      <c r="M244" s="1" t="s">
        <v>25</v>
      </c>
      <c r="N244" s="1">
        <v>2017</v>
      </c>
      <c r="O244" t="str" cm="1">
        <f t="array" ref="O244">_xlfn.IFS(OR($K244="Ghana", $K244="Nigeria"), "Anglophone", OR($K244="Togo", $K244="Benin", $K244="Senegal"), "Francophone")</f>
        <v>Francophone</v>
      </c>
      <c r="P244" s="1" t="str">
        <f>LEFT(Int_breweries[[#This Row],[MONTHS]], 3)</f>
        <v>Mar</v>
      </c>
    </row>
    <row r="245" spans="1:16" ht="12.5" x14ac:dyDescent="0.25">
      <c r="A245" s="1">
        <v>10344</v>
      </c>
      <c r="B245" s="1" t="s">
        <v>51</v>
      </c>
      <c r="C245" s="1" t="s">
        <v>52</v>
      </c>
      <c r="D245" t="s">
        <v>68</v>
      </c>
      <c r="E245" s="1">
        <v>80</v>
      </c>
      <c r="F245" s="1">
        <v>150</v>
      </c>
      <c r="G245" s="1">
        <v>859</v>
      </c>
      <c r="H245" s="1">
        <f>Int_breweries[[#This Row],[PLANT_COST]]*Int_breweries[[#This Row],[QUANTITY]]</f>
        <v>68720</v>
      </c>
      <c r="I245" s="1">
        <v>128850</v>
      </c>
      <c r="J245" s="1">
        <v>60130</v>
      </c>
      <c r="K245" s="1" t="s">
        <v>28</v>
      </c>
      <c r="L245" t="s">
        <v>58</v>
      </c>
      <c r="M245" s="1" t="s">
        <v>29</v>
      </c>
      <c r="N245" s="1">
        <v>2018</v>
      </c>
      <c r="O245" t="str" cm="1">
        <f t="array" ref="O245">_xlfn.IFS(OR($K245="Ghana", $K245="Nigeria"), "Anglophone", OR($K245="Togo", $K245="Benin", $K245="Senegal"), "Francophone")</f>
        <v>Francophone</v>
      </c>
      <c r="P245" s="1" t="str">
        <f>LEFT(Int_breweries[[#This Row],[MONTHS]], 3)</f>
        <v>Apr</v>
      </c>
    </row>
    <row r="246" spans="1:16" ht="12.5" x14ac:dyDescent="0.25">
      <c r="A246" s="1">
        <v>10345</v>
      </c>
      <c r="B246" s="1" t="s">
        <v>26</v>
      </c>
      <c r="C246" s="1" t="s">
        <v>27</v>
      </c>
      <c r="D246" t="s">
        <v>69</v>
      </c>
      <c r="E246" s="1">
        <v>90</v>
      </c>
      <c r="F246" s="1">
        <v>150</v>
      </c>
      <c r="G246" s="1">
        <v>950</v>
      </c>
      <c r="H246" s="1">
        <f>Int_breweries[[#This Row],[PLANT_COST]]*Int_breweries[[#This Row],[QUANTITY]]</f>
        <v>85500</v>
      </c>
      <c r="I246" s="1">
        <v>142500</v>
      </c>
      <c r="J246" s="1">
        <v>57000</v>
      </c>
      <c r="K246" s="1" t="s">
        <v>32</v>
      </c>
      <c r="L246" t="s">
        <v>59</v>
      </c>
      <c r="M246" s="1" t="s">
        <v>33</v>
      </c>
      <c r="N246" s="1">
        <v>2017</v>
      </c>
      <c r="O246" t="str" cm="1">
        <f t="array" ref="O246">_xlfn.IFS(OR($K246="Ghana", $K246="Nigeria"), "Anglophone", OR($K246="Togo", $K246="Benin", $K246="Senegal"), "Francophone")</f>
        <v>Francophone</v>
      </c>
      <c r="P246" s="1" t="str">
        <f>LEFT(Int_breweries[[#This Row],[MONTHS]], 3)</f>
        <v>May</v>
      </c>
    </row>
    <row r="247" spans="1:16" ht="12.5" x14ac:dyDescent="0.25">
      <c r="A247" s="1">
        <v>10346</v>
      </c>
      <c r="B247" s="1" t="s">
        <v>39</v>
      </c>
      <c r="C247" s="1" t="s">
        <v>40</v>
      </c>
      <c r="D247" t="s">
        <v>63</v>
      </c>
      <c r="E247" s="1">
        <v>150</v>
      </c>
      <c r="F247" s="1">
        <v>200</v>
      </c>
      <c r="G247" s="1">
        <v>706</v>
      </c>
      <c r="H247" s="1">
        <f>Int_breweries[[#This Row],[PLANT_COST]]*Int_breweries[[#This Row],[QUANTITY]]</f>
        <v>105900</v>
      </c>
      <c r="I247" s="1">
        <v>141200</v>
      </c>
      <c r="J247" s="1">
        <v>35300</v>
      </c>
      <c r="K247" s="1" t="s">
        <v>14</v>
      </c>
      <c r="L247" t="s">
        <v>60</v>
      </c>
      <c r="M247" s="1" t="s">
        <v>34</v>
      </c>
      <c r="N247" s="1">
        <v>2019</v>
      </c>
      <c r="O247" t="str" cm="1">
        <f t="array" ref="O247">_xlfn.IFS(OR($K247="Ghana", $K247="Nigeria"), "Anglophone", OR($K247="Togo", $K247="Benin", $K247="Senegal"), "Francophone")</f>
        <v>Anglophone</v>
      </c>
      <c r="P247" s="1" t="str">
        <f>LEFT(Int_breweries[[#This Row],[MONTHS]], 3)</f>
        <v>Jun</v>
      </c>
    </row>
    <row r="248" spans="1:16" ht="12.5" x14ac:dyDescent="0.25">
      <c r="A248" s="1">
        <v>10347</v>
      </c>
      <c r="B248" s="1" t="s">
        <v>51</v>
      </c>
      <c r="C248" s="1" t="s">
        <v>52</v>
      </c>
      <c r="D248" t="s">
        <v>64</v>
      </c>
      <c r="E248" s="1">
        <v>250</v>
      </c>
      <c r="F248" s="1">
        <v>500</v>
      </c>
      <c r="G248" s="1">
        <v>702</v>
      </c>
      <c r="H248" s="1">
        <f>Int_breweries[[#This Row],[PLANT_COST]]*Int_breweries[[#This Row],[QUANTITY]]</f>
        <v>175500</v>
      </c>
      <c r="I248" s="1">
        <v>351000</v>
      </c>
      <c r="J248" s="1">
        <v>175500</v>
      </c>
      <c r="K248" s="1" t="s">
        <v>19</v>
      </c>
      <c r="L248" t="s">
        <v>61</v>
      </c>
      <c r="M248" s="1" t="s">
        <v>37</v>
      </c>
      <c r="N248" s="1">
        <v>2018</v>
      </c>
      <c r="O248" t="str" cm="1">
        <f t="array" ref="O248">_xlfn.IFS(OR($K248="Ghana", $K248="Nigeria"), "Anglophone", OR($K248="Togo", $K248="Benin", $K248="Senegal"), "Francophone")</f>
        <v>Anglophone</v>
      </c>
      <c r="P248" s="1" t="str">
        <f>LEFT(Int_breweries[[#This Row],[MONTHS]], 3)</f>
        <v>Jul</v>
      </c>
    </row>
    <row r="249" spans="1:16" ht="12.5" x14ac:dyDescent="0.25">
      <c r="A249" s="1">
        <v>10348</v>
      </c>
      <c r="B249" s="1" t="s">
        <v>22</v>
      </c>
      <c r="C249" s="1" t="s">
        <v>23</v>
      </c>
      <c r="D249" t="s">
        <v>65</v>
      </c>
      <c r="E249" s="1">
        <v>180</v>
      </c>
      <c r="F249" s="1">
        <v>450</v>
      </c>
      <c r="G249" s="1">
        <v>899</v>
      </c>
      <c r="H249" s="1">
        <f>Int_breweries[[#This Row],[PLANT_COST]]*Int_breweries[[#This Row],[QUANTITY]]</f>
        <v>161820</v>
      </c>
      <c r="I249" s="1">
        <v>404550</v>
      </c>
      <c r="J249" s="1">
        <v>242730</v>
      </c>
      <c r="K249" s="1" t="s">
        <v>24</v>
      </c>
      <c r="L249" t="s">
        <v>62</v>
      </c>
      <c r="M249" s="1" t="s">
        <v>38</v>
      </c>
      <c r="N249" s="1">
        <v>2019</v>
      </c>
      <c r="O249" t="str" cm="1">
        <f t="array" ref="O249">_xlfn.IFS(OR($K249="Ghana", $K249="Nigeria"), "Anglophone", OR($K249="Togo", $K249="Benin", $K249="Senegal"), "Francophone")</f>
        <v>Francophone</v>
      </c>
      <c r="P249" s="1" t="str">
        <f>LEFT(Int_breweries[[#This Row],[MONTHS]], 3)</f>
        <v>Aug</v>
      </c>
    </row>
    <row r="250" spans="1:16" ht="12.5" x14ac:dyDescent="0.25">
      <c r="A250" s="1">
        <v>10349</v>
      </c>
      <c r="B250" s="1" t="s">
        <v>17</v>
      </c>
      <c r="C250" s="1" t="s">
        <v>18</v>
      </c>
      <c r="D250" t="s">
        <v>66</v>
      </c>
      <c r="E250" s="1">
        <v>170</v>
      </c>
      <c r="F250" s="1">
        <v>250</v>
      </c>
      <c r="G250" s="1">
        <v>738</v>
      </c>
      <c r="H250" s="1">
        <f>Int_breweries[[#This Row],[PLANT_COST]]*Int_breweries[[#This Row],[QUANTITY]]</f>
        <v>125460</v>
      </c>
      <c r="I250" s="1">
        <v>184500</v>
      </c>
      <c r="J250" s="1">
        <v>59040</v>
      </c>
      <c r="K250" s="1" t="s">
        <v>28</v>
      </c>
      <c r="L250" t="s">
        <v>15</v>
      </c>
      <c r="M250" s="1" t="s">
        <v>41</v>
      </c>
      <c r="N250" s="1">
        <v>2019</v>
      </c>
      <c r="O250" t="str" cm="1">
        <f t="array" ref="O250">_xlfn.IFS(OR($K250="Ghana", $K250="Nigeria"), "Anglophone", OR($K250="Togo", $K250="Benin", $K250="Senegal"), "Francophone")</f>
        <v>Francophone</v>
      </c>
      <c r="P250" s="1" t="str">
        <f>LEFT(Int_breweries[[#This Row],[MONTHS]], 3)</f>
        <v>Sep</v>
      </c>
    </row>
    <row r="251" spans="1:16" ht="12.5" x14ac:dyDescent="0.25">
      <c r="A251" s="1">
        <v>10350</v>
      </c>
      <c r="B251" s="1" t="s">
        <v>22</v>
      </c>
      <c r="C251" s="1" t="s">
        <v>23</v>
      </c>
      <c r="D251" t="s">
        <v>67</v>
      </c>
      <c r="E251" s="1">
        <v>150</v>
      </c>
      <c r="F251" s="1">
        <v>200</v>
      </c>
      <c r="G251" s="1">
        <v>917</v>
      </c>
      <c r="H251" s="1">
        <f>Int_breweries[[#This Row],[PLANT_COST]]*Int_breweries[[#This Row],[QUANTITY]]</f>
        <v>137550</v>
      </c>
      <c r="I251" s="1">
        <v>183400</v>
      </c>
      <c r="J251" s="1">
        <v>45850</v>
      </c>
      <c r="K251" s="1" t="s">
        <v>32</v>
      </c>
      <c r="L251" t="s">
        <v>58</v>
      </c>
      <c r="M251" s="1" t="s">
        <v>44</v>
      </c>
      <c r="N251" s="1">
        <v>2017</v>
      </c>
      <c r="O251" t="str" cm="1">
        <f t="array" ref="O251">_xlfn.IFS(OR($K251="Ghana", $K251="Nigeria"), "Anglophone", OR($K251="Togo", $K251="Benin", $K251="Senegal"), "Francophone")</f>
        <v>Francophone</v>
      </c>
      <c r="P251" s="1" t="str">
        <f>LEFT(Int_breweries[[#This Row],[MONTHS]], 3)</f>
        <v>Oct</v>
      </c>
    </row>
    <row r="252" spans="1:16" ht="12.5" x14ac:dyDescent="0.25">
      <c r="A252" s="1">
        <v>10351</v>
      </c>
      <c r="B252" s="1" t="s">
        <v>35</v>
      </c>
      <c r="C252" s="1" t="s">
        <v>36</v>
      </c>
      <c r="D252" t="s">
        <v>68</v>
      </c>
      <c r="E252" s="1">
        <v>80</v>
      </c>
      <c r="F252" s="1">
        <v>150</v>
      </c>
      <c r="G252" s="1">
        <v>783</v>
      </c>
      <c r="H252" s="1">
        <f>Int_breweries[[#This Row],[PLANT_COST]]*Int_breweries[[#This Row],[QUANTITY]]</f>
        <v>62640</v>
      </c>
      <c r="I252" s="1">
        <v>117450</v>
      </c>
      <c r="J252" s="1">
        <v>54810</v>
      </c>
      <c r="K252" s="1" t="s">
        <v>14</v>
      </c>
      <c r="L252" t="s">
        <v>59</v>
      </c>
      <c r="M252" s="1" t="s">
        <v>47</v>
      </c>
      <c r="N252" s="1">
        <v>2019</v>
      </c>
      <c r="O252" t="str" cm="1">
        <f t="array" ref="O252">_xlfn.IFS(OR($K252="Ghana", $K252="Nigeria"), "Anglophone", OR($K252="Togo", $K252="Benin", $K252="Senegal"), "Francophone")</f>
        <v>Anglophone</v>
      </c>
      <c r="P252" s="1" t="str">
        <f>LEFT(Int_breweries[[#This Row],[MONTHS]], 3)</f>
        <v>Nov</v>
      </c>
    </row>
    <row r="253" spans="1:16" ht="12.5" x14ac:dyDescent="0.25">
      <c r="A253" s="1">
        <v>10352</v>
      </c>
      <c r="B253" s="1" t="s">
        <v>30</v>
      </c>
      <c r="C253" s="1" t="s">
        <v>31</v>
      </c>
      <c r="D253" t="s">
        <v>69</v>
      </c>
      <c r="E253" s="1">
        <v>90</v>
      </c>
      <c r="F253" s="1">
        <v>150</v>
      </c>
      <c r="G253" s="1">
        <v>831</v>
      </c>
      <c r="H253" s="1">
        <f>Int_breweries[[#This Row],[PLANT_COST]]*Int_breweries[[#This Row],[QUANTITY]]</f>
        <v>74790</v>
      </c>
      <c r="I253" s="1">
        <v>124650</v>
      </c>
      <c r="J253" s="1">
        <v>49860</v>
      </c>
      <c r="K253" s="1" t="s">
        <v>19</v>
      </c>
      <c r="L253" t="s">
        <v>60</v>
      </c>
      <c r="M253" s="1" t="s">
        <v>48</v>
      </c>
      <c r="N253" s="1">
        <v>2019</v>
      </c>
      <c r="O253" t="str" cm="1">
        <f t="array" ref="O253">_xlfn.IFS(OR($K253="Ghana", $K253="Nigeria"), "Anglophone", OR($K253="Togo", $K253="Benin", $K253="Senegal"), "Francophone")</f>
        <v>Anglophone</v>
      </c>
      <c r="P253" s="1" t="str">
        <f>LEFT(Int_breweries[[#This Row],[MONTHS]], 3)</f>
        <v>Dec</v>
      </c>
    </row>
    <row r="254" spans="1:16" ht="12.5" x14ac:dyDescent="0.25">
      <c r="A254" s="1">
        <v>10353</v>
      </c>
      <c r="B254" s="1" t="s">
        <v>12</v>
      </c>
      <c r="C254" s="1" t="s">
        <v>13</v>
      </c>
      <c r="D254" t="s">
        <v>63</v>
      </c>
      <c r="E254" s="1">
        <v>150</v>
      </c>
      <c r="F254" s="1">
        <v>200</v>
      </c>
      <c r="G254" s="1">
        <v>869</v>
      </c>
      <c r="H254" s="1">
        <f>Int_breweries[[#This Row],[PLANT_COST]]*Int_breweries[[#This Row],[QUANTITY]]</f>
        <v>130350</v>
      </c>
      <c r="I254" s="1">
        <v>173800</v>
      </c>
      <c r="J254" s="1">
        <v>43450</v>
      </c>
      <c r="K254" s="1" t="s">
        <v>24</v>
      </c>
      <c r="L254" t="s">
        <v>61</v>
      </c>
      <c r="M254" s="1" t="s">
        <v>16</v>
      </c>
      <c r="N254" s="1">
        <v>2019</v>
      </c>
      <c r="O254" t="str" cm="1">
        <f t="array" ref="O254">_xlfn.IFS(OR($K254="Ghana", $K254="Nigeria"), "Anglophone", OR($K254="Togo", $K254="Benin", $K254="Senegal"), "Francophone")</f>
        <v>Francophone</v>
      </c>
      <c r="P254" s="1" t="str">
        <f>LEFT(Int_breweries[[#This Row],[MONTHS]], 3)</f>
        <v>Jan</v>
      </c>
    </row>
    <row r="255" spans="1:16" ht="12.5" x14ac:dyDescent="0.25">
      <c r="A255" s="1">
        <v>10354</v>
      </c>
      <c r="B255" s="1" t="s">
        <v>12</v>
      </c>
      <c r="C255" s="1" t="s">
        <v>13</v>
      </c>
      <c r="D255" t="s">
        <v>64</v>
      </c>
      <c r="E255" s="1">
        <v>250</v>
      </c>
      <c r="F255" s="1">
        <v>500</v>
      </c>
      <c r="G255" s="1">
        <v>750</v>
      </c>
      <c r="H255" s="1">
        <f>Int_breweries[[#This Row],[PLANT_COST]]*Int_breweries[[#This Row],[QUANTITY]]</f>
        <v>187500</v>
      </c>
      <c r="I255" s="1">
        <v>375000</v>
      </c>
      <c r="J255" s="1">
        <v>187500</v>
      </c>
      <c r="K255" s="1" t="s">
        <v>28</v>
      </c>
      <c r="L255" t="s">
        <v>62</v>
      </c>
      <c r="M255" s="1" t="s">
        <v>21</v>
      </c>
      <c r="N255" s="1">
        <v>2017</v>
      </c>
      <c r="O255" t="str" cm="1">
        <f t="array" ref="O255">_xlfn.IFS(OR($K255="Ghana", $K255="Nigeria"), "Anglophone", OR($K255="Togo", $K255="Benin", $K255="Senegal"), "Francophone")</f>
        <v>Francophone</v>
      </c>
      <c r="P255" s="1" t="str">
        <f>LEFT(Int_breweries[[#This Row],[MONTHS]], 3)</f>
        <v>Feb</v>
      </c>
    </row>
    <row r="256" spans="1:16" ht="12.5" x14ac:dyDescent="0.25">
      <c r="A256" s="1">
        <v>10355</v>
      </c>
      <c r="B256" s="1" t="s">
        <v>30</v>
      </c>
      <c r="C256" s="1" t="s">
        <v>31</v>
      </c>
      <c r="D256" t="s">
        <v>65</v>
      </c>
      <c r="E256" s="1">
        <v>180</v>
      </c>
      <c r="F256" s="1">
        <v>450</v>
      </c>
      <c r="G256" s="1">
        <v>931</v>
      </c>
      <c r="H256" s="1">
        <f>Int_breweries[[#This Row],[PLANT_COST]]*Int_breweries[[#This Row],[QUANTITY]]</f>
        <v>167580</v>
      </c>
      <c r="I256" s="1">
        <v>418950</v>
      </c>
      <c r="J256" s="1">
        <v>251370</v>
      </c>
      <c r="K256" s="1" t="s">
        <v>32</v>
      </c>
      <c r="L256" t="s">
        <v>15</v>
      </c>
      <c r="M256" s="1" t="s">
        <v>25</v>
      </c>
      <c r="N256" s="1">
        <v>2019</v>
      </c>
      <c r="O256" t="str" cm="1">
        <f t="array" ref="O256">_xlfn.IFS(OR($K256="Ghana", $K256="Nigeria"), "Anglophone", OR($K256="Togo", $K256="Benin", $K256="Senegal"), "Francophone")</f>
        <v>Francophone</v>
      </c>
      <c r="P256" s="1" t="str">
        <f>LEFT(Int_breweries[[#This Row],[MONTHS]], 3)</f>
        <v>Mar</v>
      </c>
    </row>
    <row r="257" spans="1:16" ht="12.5" x14ac:dyDescent="0.25">
      <c r="A257" s="1">
        <v>10356</v>
      </c>
      <c r="B257" s="1" t="s">
        <v>12</v>
      </c>
      <c r="C257" s="1" t="s">
        <v>13</v>
      </c>
      <c r="D257" t="s">
        <v>66</v>
      </c>
      <c r="E257" s="1">
        <v>170</v>
      </c>
      <c r="F257" s="1">
        <v>250</v>
      </c>
      <c r="G257" s="1">
        <v>972</v>
      </c>
      <c r="H257" s="1">
        <f>Int_breweries[[#This Row],[PLANT_COST]]*Int_breweries[[#This Row],[QUANTITY]]</f>
        <v>165240</v>
      </c>
      <c r="I257" s="1">
        <v>243000</v>
      </c>
      <c r="J257" s="1">
        <v>77760</v>
      </c>
      <c r="K257" s="1" t="s">
        <v>14</v>
      </c>
      <c r="L257" t="s">
        <v>58</v>
      </c>
      <c r="M257" s="1" t="s">
        <v>29</v>
      </c>
      <c r="N257" s="1">
        <v>2017</v>
      </c>
      <c r="O257" t="str" cm="1">
        <f t="array" ref="O257">_xlfn.IFS(OR($K257="Ghana", $K257="Nigeria"), "Anglophone", OR($K257="Togo", $K257="Benin", $K257="Senegal"), "Francophone")</f>
        <v>Anglophone</v>
      </c>
      <c r="P257" s="1" t="str">
        <f>LEFT(Int_breweries[[#This Row],[MONTHS]], 3)</f>
        <v>Apr</v>
      </c>
    </row>
    <row r="258" spans="1:16" ht="12.5" x14ac:dyDescent="0.25">
      <c r="A258" s="1">
        <v>10357</v>
      </c>
      <c r="B258" s="1" t="s">
        <v>17</v>
      </c>
      <c r="C258" s="1" t="s">
        <v>18</v>
      </c>
      <c r="D258" t="s">
        <v>67</v>
      </c>
      <c r="E258" s="1">
        <v>150</v>
      </c>
      <c r="F258" s="1">
        <v>200</v>
      </c>
      <c r="G258" s="1">
        <v>985</v>
      </c>
      <c r="H258" s="1">
        <f>Int_breweries[[#This Row],[PLANT_COST]]*Int_breweries[[#This Row],[QUANTITY]]</f>
        <v>147750</v>
      </c>
      <c r="I258" s="1">
        <v>197000</v>
      </c>
      <c r="J258" s="1">
        <v>49250</v>
      </c>
      <c r="K258" s="1" t="s">
        <v>19</v>
      </c>
      <c r="L258" t="s">
        <v>59</v>
      </c>
      <c r="M258" s="1" t="s">
        <v>33</v>
      </c>
      <c r="N258" s="1">
        <v>2017</v>
      </c>
      <c r="O258" t="str" cm="1">
        <f t="array" ref="O258">_xlfn.IFS(OR($K258="Ghana", $K258="Nigeria"), "Anglophone", OR($K258="Togo", $K258="Benin", $K258="Senegal"), "Francophone")</f>
        <v>Anglophone</v>
      </c>
      <c r="P258" s="1" t="str">
        <f>LEFT(Int_breweries[[#This Row],[MONTHS]], 3)</f>
        <v>May</v>
      </c>
    </row>
    <row r="259" spans="1:16" ht="12.5" x14ac:dyDescent="0.25">
      <c r="A259" s="1">
        <v>10358</v>
      </c>
      <c r="B259" s="1" t="s">
        <v>22</v>
      </c>
      <c r="C259" s="1" t="s">
        <v>23</v>
      </c>
      <c r="D259" t="s">
        <v>68</v>
      </c>
      <c r="E259" s="1">
        <v>80</v>
      </c>
      <c r="F259" s="1">
        <v>150</v>
      </c>
      <c r="G259" s="1">
        <v>826</v>
      </c>
      <c r="H259" s="1">
        <f>Int_breweries[[#This Row],[PLANT_COST]]*Int_breweries[[#This Row],[QUANTITY]]</f>
        <v>66080</v>
      </c>
      <c r="I259" s="1">
        <v>123900</v>
      </c>
      <c r="J259" s="1">
        <v>57820</v>
      </c>
      <c r="K259" s="1" t="s">
        <v>24</v>
      </c>
      <c r="L259" t="s">
        <v>60</v>
      </c>
      <c r="M259" s="1" t="s">
        <v>34</v>
      </c>
      <c r="N259" s="1">
        <v>2018</v>
      </c>
      <c r="O259" t="str" cm="1">
        <f t="array" ref="O259">_xlfn.IFS(OR($K259="Ghana", $K259="Nigeria"), "Anglophone", OR($K259="Togo", $K259="Benin", $K259="Senegal"), "Francophone")</f>
        <v>Francophone</v>
      </c>
      <c r="P259" s="1" t="str">
        <f>LEFT(Int_breweries[[#This Row],[MONTHS]], 3)</f>
        <v>Jun</v>
      </c>
    </row>
    <row r="260" spans="1:16" ht="12.5" x14ac:dyDescent="0.25">
      <c r="A260" s="1">
        <v>10359</v>
      </c>
      <c r="B260" s="1" t="s">
        <v>26</v>
      </c>
      <c r="C260" s="1" t="s">
        <v>27</v>
      </c>
      <c r="D260" t="s">
        <v>69</v>
      </c>
      <c r="E260" s="1">
        <v>90</v>
      </c>
      <c r="F260" s="1">
        <v>150</v>
      </c>
      <c r="G260" s="1">
        <v>907</v>
      </c>
      <c r="H260" s="1">
        <f>Int_breweries[[#This Row],[PLANT_COST]]*Int_breweries[[#This Row],[QUANTITY]]</f>
        <v>81630</v>
      </c>
      <c r="I260" s="1">
        <v>136050</v>
      </c>
      <c r="J260" s="1">
        <v>54420</v>
      </c>
      <c r="K260" s="1" t="s">
        <v>28</v>
      </c>
      <c r="L260" t="s">
        <v>61</v>
      </c>
      <c r="M260" s="1" t="s">
        <v>37</v>
      </c>
      <c r="N260" s="1">
        <v>2018</v>
      </c>
      <c r="O260" t="str" cm="1">
        <f t="array" ref="O260">_xlfn.IFS(OR($K260="Ghana", $K260="Nigeria"), "Anglophone", OR($K260="Togo", $K260="Benin", $K260="Senegal"), "Francophone")</f>
        <v>Francophone</v>
      </c>
      <c r="P260" s="1" t="str">
        <f>LEFT(Int_breweries[[#This Row],[MONTHS]], 3)</f>
        <v>Jul</v>
      </c>
    </row>
    <row r="261" spans="1:16" ht="12.5" x14ac:dyDescent="0.25">
      <c r="A261" s="1">
        <v>10360</v>
      </c>
      <c r="B261" s="1" t="s">
        <v>30</v>
      </c>
      <c r="C261" s="1" t="s">
        <v>31</v>
      </c>
      <c r="D261" t="s">
        <v>63</v>
      </c>
      <c r="E261" s="1">
        <v>150</v>
      </c>
      <c r="F261" s="1">
        <v>200</v>
      </c>
      <c r="G261" s="1">
        <v>704</v>
      </c>
      <c r="H261" s="1">
        <f>Int_breweries[[#This Row],[PLANT_COST]]*Int_breweries[[#This Row],[QUANTITY]]</f>
        <v>105600</v>
      </c>
      <c r="I261" s="1">
        <v>140800</v>
      </c>
      <c r="J261" s="1">
        <v>35200</v>
      </c>
      <c r="K261" s="1" t="s">
        <v>32</v>
      </c>
      <c r="L261" t="s">
        <v>62</v>
      </c>
      <c r="M261" s="1" t="s">
        <v>38</v>
      </c>
      <c r="N261" s="1">
        <v>2019</v>
      </c>
      <c r="O261" t="str" cm="1">
        <f t="array" ref="O261">_xlfn.IFS(OR($K261="Ghana", $K261="Nigeria"), "Anglophone", OR($K261="Togo", $K261="Benin", $K261="Senegal"), "Francophone")</f>
        <v>Francophone</v>
      </c>
      <c r="P261" s="1" t="str">
        <f>LEFT(Int_breweries[[#This Row],[MONTHS]], 3)</f>
        <v>Aug</v>
      </c>
    </row>
    <row r="262" spans="1:16" ht="12.5" x14ac:dyDescent="0.25">
      <c r="A262" s="1">
        <v>10361</v>
      </c>
      <c r="B262" s="1" t="s">
        <v>12</v>
      </c>
      <c r="C262" s="1" t="s">
        <v>13</v>
      </c>
      <c r="D262" t="s">
        <v>64</v>
      </c>
      <c r="E262" s="1">
        <v>250</v>
      </c>
      <c r="F262" s="1">
        <v>500</v>
      </c>
      <c r="G262" s="1">
        <v>719</v>
      </c>
      <c r="H262" s="1">
        <f>Int_breweries[[#This Row],[PLANT_COST]]*Int_breweries[[#This Row],[QUANTITY]]</f>
        <v>179750</v>
      </c>
      <c r="I262" s="1">
        <v>359500</v>
      </c>
      <c r="J262" s="1">
        <v>179750</v>
      </c>
      <c r="K262" s="1" t="s">
        <v>14</v>
      </c>
      <c r="L262" t="s">
        <v>15</v>
      </c>
      <c r="M262" s="1" t="s">
        <v>41</v>
      </c>
      <c r="N262" s="1">
        <v>2019</v>
      </c>
      <c r="O262" t="str" cm="1">
        <f t="array" ref="O262">_xlfn.IFS(OR($K262="Ghana", $K262="Nigeria"), "Anglophone", OR($K262="Togo", $K262="Benin", $K262="Senegal"), "Francophone")</f>
        <v>Anglophone</v>
      </c>
      <c r="P262" s="1" t="str">
        <f>LEFT(Int_breweries[[#This Row],[MONTHS]], 3)</f>
        <v>Sep</v>
      </c>
    </row>
    <row r="263" spans="1:16" ht="12.5" x14ac:dyDescent="0.25">
      <c r="A263" s="1">
        <v>10362</v>
      </c>
      <c r="B263" s="1" t="s">
        <v>35</v>
      </c>
      <c r="C263" s="1" t="s">
        <v>36</v>
      </c>
      <c r="D263" t="s">
        <v>65</v>
      </c>
      <c r="E263" s="1">
        <v>180</v>
      </c>
      <c r="F263" s="1">
        <v>450</v>
      </c>
      <c r="G263" s="1">
        <v>718</v>
      </c>
      <c r="H263" s="1">
        <f>Int_breweries[[#This Row],[PLANT_COST]]*Int_breweries[[#This Row],[QUANTITY]]</f>
        <v>129240</v>
      </c>
      <c r="I263" s="1">
        <v>323100</v>
      </c>
      <c r="J263" s="1">
        <v>193860</v>
      </c>
      <c r="K263" s="1" t="s">
        <v>19</v>
      </c>
      <c r="L263" t="s">
        <v>58</v>
      </c>
      <c r="M263" s="1" t="s">
        <v>44</v>
      </c>
      <c r="N263" s="1">
        <v>2018</v>
      </c>
      <c r="O263" t="str" cm="1">
        <f t="array" ref="O263">_xlfn.IFS(OR($K263="Ghana", $K263="Nigeria"), "Anglophone", OR($K263="Togo", $K263="Benin", $K263="Senegal"), "Francophone")</f>
        <v>Anglophone</v>
      </c>
      <c r="P263" s="1" t="str">
        <f>LEFT(Int_breweries[[#This Row],[MONTHS]], 3)</f>
        <v>Oct</v>
      </c>
    </row>
    <row r="264" spans="1:16" ht="12.5" x14ac:dyDescent="0.25">
      <c r="A264" s="1">
        <v>10363</v>
      </c>
      <c r="B264" s="1" t="s">
        <v>26</v>
      </c>
      <c r="C264" s="1" t="s">
        <v>27</v>
      </c>
      <c r="D264" t="s">
        <v>66</v>
      </c>
      <c r="E264" s="1">
        <v>170</v>
      </c>
      <c r="F264" s="1">
        <v>250</v>
      </c>
      <c r="G264" s="1">
        <v>879</v>
      </c>
      <c r="H264" s="1">
        <f>Int_breweries[[#This Row],[PLANT_COST]]*Int_breweries[[#This Row],[QUANTITY]]</f>
        <v>149430</v>
      </c>
      <c r="I264" s="1">
        <v>219750</v>
      </c>
      <c r="J264" s="1">
        <v>70320</v>
      </c>
      <c r="K264" s="1" t="s">
        <v>24</v>
      </c>
      <c r="L264" t="s">
        <v>59</v>
      </c>
      <c r="M264" s="1" t="s">
        <v>47</v>
      </c>
      <c r="N264" s="1">
        <v>2017</v>
      </c>
      <c r="O264" t="str" cm="1">
        <f t="array" ref="O264">_xlfn.IFS(OR($K264="Ghana", $K264="Nigeria"), "Anglophone", OR($K264="Togo", $K264="Benin", $K264="Senegal"), "Francophone")</f>
        <v>Francophone</v>
      </c>
      <c r="P264" s="1" t="str">
        <f>LEFT(Int_breweries[[#This Row],[MONTHS]], 3)</f>
        <v>Nov</v>
      </c>
    </row>
    <row r="265" spans="1:16" ht="12.5" x14ac:dyDescent="0.25">
      <c r="A265" s="1">
        <v>10364</v>
      </c>
      <c r="B265" s="1" t="s">
        <v>39</v>
      </c>
      <c r="C265" s="1" t="s">
        <v>40</v>
      </c>
      <c r="D265" t="s">
        <v>67</v>
      </c>
      <c r="E265" s="1">
        <v>150</v>
      </c>
      <c r="F265" s="1">
        <v>200</v>
      </c>
      <c r="G265" s="1">
        <v>816</v>
      </c>
      <c r="H265" s="1">
        <f>Int_breweries[[#This Row],[PLANT_COST]]*Int_breweries[[#This Row],[QUANTITY]]</f>
        <v>122400</v>
      </c>
      <c r="I265" s="1">
        <v>163200</v>
      </c>
      <c r="J265" s="1">
        <v>40800</v>
      </c>
      <c r="K265" s="1" t="s">
        <v>28</v>
      </c>
      <c r="L265" t="s">
        <v>60</v>
      </c>
      <c r="M265" s="1" t="s">
        <v>48</v>
      </c>
      <c r="N265" s="1">
        <v>2017</v>
      </c>
      <c r="O265" t="str" cm="1">
        <f t="array" ref="O265">_xlfn.IFS(OR($K265="Ghana", $K265="Nigeria"), "Anglophone", OR($K265="Togo", $K265="Benin", $K265="Senegal"), "Francophone")</f>
        <v>Francophone</v>
      </c>
      <c r="P265" s="1" t="str">
        <f>LEFT(Int_breweries[[#This Row],[MONTHS]], 3)</f>
        <v>Dec</v>
      </c>
    </row>
    <row r="266" spans="1:16" ht="12.5" x14ac:dyDescent="0.25">
      <c r="A266" s="1">
        <v>10365</v>
      </c>
      <c r="B266" s="1" t="s">
        <v>42</v>
      </c>
      <c r="C266" s="1" t="s">
        <v>43</v>
      </c>
      <c r="D266" t="s">
        <v>68</v>
      </c>
      <c r="E266" s="1">
        <v>80</v>
      </c>
      <c r="F266" s="1">
        <v>150</v>
      </c>
      <c r="G266" s="1">
        <v>803</v>
      </c>
      <c r="H266" s="1">
        <f>Int_breweries[[#This Row],[PLANT_COST]]*Int_breweries[[#This Row],[QUANTITY]]</f>
        <v>64240</v>
      </c>
      <c r="I266" s="1">
        <v>120450</v>
      </c>
      <c r="J266" s="1">
        <v>56210</v>
      </c>
      <c r="K266" s="1" t="s">
        <v>32</v>
      </c>
      <c r="L266" t="s">
        <v>61</v>
      </c>
      <c r="M266" s="1" t="s">
        <v>16</v>
      </c>
      <c r="N266" s="1">
        <v>2017</v>
      </c>
      <c r="O266" t="str" cm="1">
        <f t="array" ref="O266">_xlfn.IFS(OR($K266="Ghana", $K266="Nigeria"), "Anglophone", OR($K266="Togo", $K266="Benin", $K266="Senegal"), "Francophone")</f>
        <v>Francophone</v>
      </c>
      <c r="P266" s="1" t="str">
        <f>LEFT(Int_breweries[[#This Row],[MONTHS]], 3)</f>
        <v>Jan</v>
      </c>
    </row>
    <row r="267" spans="1:16" ht="12.5" x14ac:dyDescent="0.25">
      <c r="A267" s="1">
        <v>10366</v>
      </c>
      <c r="B267" s="1" t="s">
        <v>45</v>
      </c>
      <c r="C267" s="1" t="s">
        <v>46</v>
      </c>
      <c r="D267" t="s">
        <v>69</v>
      </c>
      <c r="E267" s="1">
        <v>90</v>
      </c>
      <c r="F267" s="1">
        <v>150</v>
      </c>
      <c r="G267" s="1">
        <v>744</v>
      </c>
      <c r="H267" s="1">
        <f>Int_breweries[[#This Row],[PLANT_COST]]*Int_breweries[[#This Row],[QUANTITY]]</f>
        <v>66960</v>
      </c>
      <c r="I267" s="1">
        <v>111600</v>
      </c>
      <c r="J267" s="1">
        <v>44640</v>
      </c>
      <c r="K267" s="1" t="s">
        <v>14</v>
      </c>
      <c r="L267" t="s">
        <v>62</v>
      </c>
      <c r="M267" s="1" t="s">
        <v>21</v>
      </c>
      <c r="N267" s="1">
        <v>2018</v>
      </c>
      <c r="O267" t="str" cm="1">
        <f t="array" ref="O267">_xlfn.IFS(OR($K267="Ghana", $K267="Nigeria"), "Anglophone", OR($K267="Togo", $K267="Benin", $K267="Senegal"), "Francophone")</f>
        <v>Anglophone</v>
      </c>
      <c r="P267" s="1" t="str">
        <f>LEFT(Int_breweries[[#This Row],[MONTHS]], 3)</f>
        <v>Feb</v>
      </c>
    </row>
    <row r="268" spans="1:16" ht="12.5" x14ac:dyDescent="0.25">
      <c r="A268" s="1">
        <v>10367</v>
      </c>
      <c r="B268" s="1" t="s">
        <v>26</v>
      </c>
      <c r="C268" s="1" t="s">
        <v>27</v>
      </c>
      <c r="D268" t="s">
        <v>63</v>
      </c>
      <c r="E268" s="1">
        <v>150</v>
      </c>
      <c r="F268" s="1">
        <v>200</v>
      </c>
      <c r="G268" s="1">
        <v>912</v>
      </c>
      <c r="H268" s="1">
        <f>Int_breweries[[#This Row],[PLANT_COST]]*Int_breweries[[#This Row],[QUANTITY]]</f>
        <v>136800</v>
      </c>
      <c r="I268" s="1">
        <v>182400</v>
      </c>
      <c r="J268" s="1">
        <v>45600</v>
      </c>
      <c r="K268" s="1" t="s">
        <v>19</v>
      </c>
      <c r="L268" t="s">
        <v>15</v>
      </c>
      <c r="M268" s="1" t="s">
        <v>25</v>
      </c>
      <c r="N268" s="1">
        <v>2017</v>
      </c>
      <c r="O268" t="str" cm="1">
        <f t="array" ref="O268">_xlfn.IFS(OR($K268="Ghana", $K268="Nigeria"), "Anglophone", OR($K268="Togo", $K268="Benin", $K268="Senegal"), "Francophone")</f>
        <v>Anglophone</v>
      </c>
      <c r="P268" s="1" t="str">
        <f>LEFT(Int_breweries[[#This Row],[MONTHS]], 3)</f>
        <v>Mar</v>
      </c>
    </row>
    <row r="269" spans="1:16" ht="12.5" x14ac:dyDescent="0.25">
      <c r="A269" s="1">
        <v>10368</v>
      </c>
      <c r="B269" s="1" t="s">
        <v>49</v>
      </c>
      <c r="C269" s="1" t="s">
        <v>50</v>
      </c>
      <c r="D269" t="s">
        <v>64</v>
      </c>
      <c r="E269" s="1">
        <v>250</v>
      </c>
      <c r="F269" s="1">
        <v>500</v>
      </c>
      <c r="G269" s="1">
        <v>801</v>
      </c>
      <c r="H269" s="1">
        <f>Int_breweries[[#This Row],[PLANT_COST]]*Int_breweries[[#This Row],[QUANTITY]]</f>
        <v>200250</v>
      </c>
      <c r="I269" s="1">
        <v>400500</v>
      </c>
      <c r="J269" s="1">
        <v>200250</v>
      </c>
      <c r="K269" s="1" t="s">
        <v>24</v>
      </c>
      <c r="L269" t="s">
        <v>58</v>
      </c>
      <c r="M269" s="1" t="s">
        <v>29</v>
      </c>
      <c r="N269" s="1">
        <v>2018</v>
      </c>
      <c r="O269" t="str" cm="1">
        <f t="array" ref="O269">_xlfn.IFS(OR($K269="Ghana", $K269="Nigeria"), "Anglophone", OR($K269="Togo", $K269="Benin", $K269="Senegal"), "Francophone")</f>
        <v>Francophone</v>
      </c>
      <c r="P269" s="1" t="str">
        <f>LEFT(Int_breweries[[#This Row],[MONTHS]], 3)</f>
        <v>Apr</v>
      </c>
    </row>
    <row r="270" spans="1:16" ht="12.5" x14ac:dyDescent="0.25">
      <c r="A270" s="1">
        <v>10369</v>
      </c>
      <c r="B270" s="1" t="s">
        <v>26</v>
      </c>
      <c r="C270" s="1" t="s">
        <v>27</v>
      </c>
      <c r="D270" t="s">
        <v>65</v>
      </c>
      <c r="E270" s="1">
        <v>180</v>
      </c>
      <c r="F270" s="1">
        <v>450</v>
      </c>
      <c r="G270" s="1">
        <v>720</v>
      </c>
      <c r="H270" s="1">
        <f>Int_breweries[[#This Row],[PLANT_COST]]*Int_breweries[[#This Row],[QUANTITY]]</f>
        <v>129600</v>
      </c>
      <c r="I270" s="1">
        <v>324000</v>
      </c>
      <c r="J270" s="1">
        <v>194400</v>
      </c>
      <c r="K270" s="1" t="s">
        <v>28</v>
      </c>
      <c r="L270" t="s">
        <v>59</v>
      </c>
      <c r="M270" s="1" t="s">
        <v>33</v>
      </c>
      <c r="N270" s="1">
        <v>2018</v>
      </c>
      <c r="O270" t="str" cm="1">
        <f t="array" ref="O270">_xlfn.IFS(OR($K270="Ghana", $K270="Nigeria"), "Anglophone", OR($K270="Togo", $K270="Benin", $K270="Senegal"), "Francophone")</f>
        <v>Francophone</v>
      </c>
      <c r="P270" s="1" t="str">
        <f>LEFT(Int_breweries[[#This Row],[MONTHS]], 3)</f>
        <v>May</v>
      </c>
    </row>
    <row r="271" spans="1:16" ht="12.5" x14ac:dyDescent="0.25">
      <c r="A271" s="1">
        <v>10370</v>
      </c>
      <c r="B271" s="1" t="s">
        <v>39</v>
      </c>
      <c r="C271" s="1" t="s">
        <v>40</v>
      </c>
      <c r="D271" t="s">
        <v>66</v>
      </c>
      <c r="E271" s="1">
        <v>170</v>
      </c>
      <c r="F271" s="1">
        <v>250</v>
      </c>
      <c r="G271" s="1">
        <v>983</v>
      </c>
      <c r="H271" s="1">
        <f>Int_breweries[[#This Row],[PLANT_COST]]*Int_breweries[[#This Row],[QUANTITY]]</f>
        <v>167110</v>
      </c>
      <c r="I271" s="1">
        <v>245750</v>
      </c>
      <c r="J271" s="1">
        <v>78640</v>
      </c>
      <c r="K271" s="1" t="s">
        <v>32</v>
      </c>
      <c r="L271" t="s">
        <v>60</v>
      </c>
      <c r="M271" s="1" t="s">
        <v>34</v>
      </c>
      <c r="N271" s="1">
        <v>2019</v>
      </c>
      <c r="O271" t="str" cm="1">
        <f t="array" ref="O271">_xlfn.IFS(OR($K271="Ghana", $K271="Nigeria"), "Anglophone", OR($K271="Togo", $K271="Benin", $K271="Senegal"), "Francophone")</f>
        <v>Francophone</v>
      </c>
      <c r="P271" s="1" t="str">
        <f>LEFT(Int_breweries[[#This Row],[MONTHS]], 3)</f>
        <v>Jun</v>
      </c>
    </row>
    <row r="272" spans="1:16" ht="12.5" x14ac:dyDescent="0.25">
      <c r="A272" s="1">
        <v>10371</v>
      </c>
      <c r="B272" s="1" t="s">
        <v>26</v>
      </c>
      <c r="C272" s="1" t="s">
        <v>27</v>
      </c>
      <c r="D272" t="s">
        <v>67</v>
      </c>
      <c r="E272" s="1">
        <v>150</v>
      </c>
      <c r="F272" s="1">
        <v>200</v>
      </c>
      <c r="G272" s="1">
        <v>989</v>
      </c>
      <c r="H272" s="1">
        <f>Int_breweries[[#This Row],[PLANT_COST]]*Int_breweries[[#This Row],[QUANTITY]]</f>
        <v>148350</v>
      </c>
      <c r="I272" s="1">
        <v>197800</v>
      </c>
      <c r="J272" s="1">
        <v>49450</v>
      </c>
      <c r="K272" s="1" t="s">
        <v>14</v>
      </c>
      <c r="L272" t="s">
        <v>61</v>
      </c>
      <c r="M272" s="1" t="s">
        <v>37</v>
      </c>
      <c r="N272" s="1">
        <v>2019</v>
      </c>
      <c r="O272" t="str" cm="1">
        <f t="array" ref="O272">_xlfn.IFS(OR($K272="Ghana", $K272="Nigeria"), "Anglophone", OR($K272="Togo", $K272="Benin", $K272="Senegal"), "Francophone")</f>
        <v>Anglophone</v>
      </c>
      <c r="P272" s="1" t="str">
        <f>LEFT(Int_breweries[[#This Row],[MONTHS]], 3)</f>
        <v>Jul</v>
      </c>
    </row>
    <row r="273" spans="1:16" ht="12.5" x14ac:dyDescent="0.25">
      <c r="A273" s="1">
        <v>10372</v>
      </c>
      <c r="B273" s="1" t="s">
        <v>45</v>
      </c>
      <c r="C273" s="1" t="s">
        <v>46</v>
      </c>
      <c r="D273" t="s">
        <v>68</v>
      </c>
      <c r="E273" s="1">
        <v>80</v>
      </c>
      <c r="F273" s="1">
        <v>150</v>
      </c>
      <c r="G273" s="1">
        <v>996</v>
      </c>
      <c r="H273" s="1">
        <f>Int_breweries[[#This Row],[PLANT_COST]]*Int_breweries[[#This Row],[QUANTITY]]</f>
        <v>79680</v>
      </c>
      <c r="I273" s="1">
        <v>149400</v>
      </c>
      <c r="J273" s="1">
        <v>69720</v>
      </c>
      <c r="K273" s="1" t="s">
        <v>19</v>
      </c>
      <c r="L273" t="s">
        <v>62</v>
      </c>
      <c r="M273" s="1" t="s">
        <v>38</v>
      </c>
      <c r="N273" s="1">
        <v>2018</v>
      </c>
      <c r="O273" t="str" cm="1">
        <f t="array" ref="O273">_xlfn.IFS(OR($K273="Ghana", $K273="Nigeria"), "Anglophone", OR($K273="Togo", $K273="Benin", $K273="Senegal"), "Francophone")</f>
        <v>Anglophone</v>
      </c>
      <c r="P273" s="1" t="str">
        <f>LEFT(Int_breweries[[#This Row],[MONTHS]], 3)</f>
        <v>Aug</v>
      </c>
    </row>
    <row r="274" spans="1:16" ht="12.5" x14ac:dyDescent="0.25">
      <c r="A274" s="1">
        <v>10373</v>
      </c>
      <c r="B274" s="1" t="s">
        <v>51</v>
      </c>
      <c r="C274" s="1" t="s">
        <v>52</v>
      </c>
      <c r="D274" t="s">
        <v>69</v>
      </c>
      <c r="E274" s="1">
        <v>90</v>
      </c>
      <c r="F274" s="1">
        <v>150</v>
      </c>
      <c r="G274" s="1">
        <v>801</v>
      </c>
      <c r="H274" s="1">
        <f>Int_breweries[[#This Row],[PLANT_COST]]*Int_breweries[[#This Row],[QUANTITY]]</f>
        <v>72090</v>
      </c>
      <c r="I274" s="1">
        <v>120150</v>
      </c>
      <c r="J274" s="1">
        <v>48060</v>
      </c>
      <c r="K274" s="1" t="s">
        <v>24</v>
      </c>
      <c r="L274" t="s">
        <v>15</v>
      </c>
      <c r="M274" s="1" t="s">
        <v>41</v>
      </c>
      <c r="N274" s="1">
        <v>2017</v>
      </c>
      <c r="O274" t="str" cm="1">
        <f t="array" ref="O274">_xlfn.IFS(OR($K274="Ghana", $K274="Nigeria"), "Anglophone", OR($K274="Togo", $K274="Benin", $K274="Senegal"), "Francophone")</f>
        <v>Francophone</v>
      </c>
      <c r="P274" s="1" t="str">
        <f>LEFT(Int_breweries[[#This Row],[MONTHS]], 3)</f>
        <v>Sep</v>
      </c>
    </row>
    <row r="275" spans="1:16" ht="12.5" x14ac:dyDescent="0.25">
      <c r="A275" s="1">
        <v>10374</v>
      </c>
      <c r="B275" s="1" t="s">
        <v>49</v>
      </c>
      <c r="C275" s="1" t="s">
        <v>50</v>
      </c>
      <c r="D275" t="s">
        <v>63</v>
      </c>
      <c r="E275" s="1">
        <v>150</v>
      </c>
      <c r="F275" s="1">
        <v>200</v>
      </c>
      <c r="G275" s="1">
        <v>857</v>
      </c>
      <c r="H275" s="1">
        <f>Int_breweries[[#This Row],[PLANT_COST]]*Int_breweries[[#This Row],[QUANTITY]]</f>
        <v>128550</v>
      </c>
      <c r="I275" s="1">
        <v>171400</v>
      </c>
      <c r="J275" s="1">
        <v>42850</v>
      </c>
      <c r="K275" s="1" t="s">
        <v>28</v>
      </c>
      <c r="L275" t="s">
        <v>58</v>
      </c>
      <c r="M275" s="1" t="s">
        <v>44</v>
      </c>
      <c r="N275" s="1">
        <v>2019</v>
      </c>
      <c r="O275" t="str" cm="1">
        <f t="array" ref="O275">_xlfn.IFS(OR($K275="Ghana", $K275="Nigeria"), "Anglophone", OR($K275="Togo", $K275="Benin", $K275="Senegal"), "Francophone")</f>
        <v>Francophone</v>
      </c>
      <c r="P275" s="1" t="str">
        <f>LEFT(Int_breweries[[#This Row],[MONTHS]], 3)</f>
        <v>Oct</v>
      </c>
    </row>
    <row r="276" spans="1:16" ht="12.5" x14ac:dyDescent="0.25">
      <c r="A276" s="1">
        <v>10375</v>
      </c>
      <c r="B276" s="1" t="s">
        <v>45</v>
      </c>
      <c r="C276" s="1" t="s">
        <v>46</v>
      </c>
      <c r="D276" t="s">
        <v>64</v>
      </c>
      <c r="E276" s="1">
        <v>250</v>
      </c>
      <c r="F276" s="1">
        <v>500</v>
      </c>
      <c r="G276" s="1">
        <v>928</v>
      </c>
      <c r="H276" s="1">
        <f>Int_breweries[[#This Row],[PLANT_COST]]*Int_breweries[[#This Row],[QUANTITY]]</f>
        <v>232000</v>
      </c>
      <c r="I276" s="1">
        <v>464000</v>
      </c>
      <c r="J276" s="1">
        <v>232000</v>
      </c>
      <c r="K276" s="1" t="s">
        <v>32</v>
      </c>
      <c r="L276" t="s">
        <v>59</v>
      </c>
      <c r="M276" s="1" t="s">
        <v>47</v>
      </c>
      <c r="N276" s="1">
        <v>2018</v>
      </c>
      <c r="O276" t="str" cm="1">
        <f t="array" ref="O276">_xlfn.IFS(OR($K276="Ghana", $K276="Nigeria"), "Anglophone", OR($K276="Togo", $K276="Benin", $K276="Senegal"), "Francophone")</f>
        <v>Francophone</v>
      </c>
      <c r="P276" s="1" t="str">
        <f>LEFT(Int_breweries[[#This Row],[MONTHS]], 3)</f>
        <v>Nov</v>
      </c>
    </row>
    <row r="277" spans="1:16" ht="12.5" x14ac:dyDescent="0.25">
      <c r="A277" s="1">
        <v>10376</v>
      </c>
      <c r="B277" s="1" t="s">
        <v>17</v>
      </c>
      <c r="C277" s="1" t="s">
        <v>18</v>
      </c>
      <c r="D277" t="s">
        <v>65</v>
      </c>
      <c r="E277" s="1">
        <v>180</v>
      </c>
      <c r="F277" s="1">
        <v>450</v>
      </c>
      <c r="G277" s="1">
        <v>788</v>
      </c>
      <c r="H277" s="1">
        <f>Int_breweries[[#This Row],[PLANT_COST]]*Int_breweries[[#This Row],[QUANTITY]]</f>
        <v>141840</v>
      </c>
      <c r="I277" s="1">
        <v>354600</v>
      </c>
      <c r="J277" s="1">
        <v>212760</v>
      </c>
      <c r="K277" s="1" t="s">
        <v>14</v>
      </c>
      <c r="L277" t="s">
        <v>60</v>
      </c>
      <c r="M277" s="1" t="s">
        <v>48</v>
      </c>
      <c r="N277" s="1">
        <v>2019</v>
      </c>
      <c r="O277" t="str" cm="1">
        <f t="array" ref="O277">_xlfn.IFS(OR($K277="Ghana", $K277="Nigeria"), "Anglophone", OR($K277="Togo", $K277="Benin", $K277="Senegal"), "Francophone")</f>
        <v>Anglophone</v>
      </c>
      <c r="P277" s="1" t="str">
        <f>LEFT(Int_breweries[[#This Row],[MONTHS]], 3)</f>
        <v>Dec</v>
      </c>
    </row>
    <row r="278" spans="1:16" ht="12.5" x14ac:dyDescent="0.25">
      <c r="A278" s="1">
        <v>10377</v>
      </c>
      <c r="B278" s="1" t="s">
        <v>49</v>
      </c>
      <c r="C278" s="1" t="s">
        <v>50</v>
      </c>
      <c r="D278" t="s">
        <v>66</v>
      </c>
      <c r="E278" s="1">
        <v>170</v>
      </c>
      <c r="F278" s="1">
        <v>250</v>
      </c>
      <c r="G278" s="1">
        <v>795</v>
      </c>
      <c r="H278" s="1">
        <f>Int_breweries[[#This Row],[PLANT_COST]]*Int_breweries[[#This Row],[QUANTITY]]</f>
        <v>135150</v>
      </c>
      <c r="I278" s="1">
        <v>198750</v>
      </c>
      <c r="J278" s="1">
        <v>63600</v>
      </c>
      <c r="K278" s="1" t="s">
        <v>19</v>
      </c>
      <c r="L278" t="s">
        <v>61</v>
      </c>
      <c r="M278" s="1" t="s">
        <v>16</v>
      </c>
      <c r="N278" s="1">
        <v>2017</v>
      </c>
      <c r="O278" t="str" cm="1">
        <f t="array" ref="O278">_xlfn.IFS(OR($K278="Ghana", $K278="Nigeria"), "Anglophone", OR($K278="Togo", $K278="Benin", $K278="Senegal"), "Francophone")</f>
        <v>Anglophone</v>
      </c>
      <c r="P278" s="1" t="str">
        <f>LEFT(Int_breweries[[#This Row],[MONTHS]], 3)</f>
        <v>Jan</v>
      </c>
    </row>
    <row r="279" spans="1:16" ht="12.5" x14ac:dyDescent="0.25">
      <c r="A279" s="1">
        <v>10378</v>
      </c>
      <c r="B279" s="1" t="s">
        <v>26</v>
      </c>
      <c r="C279" s="1" t="s">
        <v>27</v>
      </c>
      <c r="D279" t="s">
        <v>67</v>
      </c>
      <c r="E279" s="1">
        <v>150</v>
      </c>
      <c r="F279" s="1">
        <v>200</v>
      </c>
      <c r="G279" s="1">
        <v>865</v>
      </c>
      <c r="H279" s="1">
        <f>Int_breweries[[#This Row],[PLANT_COST]]*Int_breweries[[#This Row],[QUANTITY]]</f>
        <v>129750</v>
      </c>
      <c r="I279" s="1">
        <v>173000</v>
      </c>
      <c r="J279" s="1">
        <v>43250</v>
      </c>
      <c r="K279" s="1" t="s">
        <v>24</v>
      </c>
      <c r="L279" t="s">
        <v>62</v>
      </c>
      <c r="M279" s="1" t="s">
        <v>21</v>
      </c>
      <c r="N279" s="1">
        <v>2019</v>
      </c>
      <c r="O279" t="str" cm="1">
        <f t="array" ref="O279">_xlfn.IFS(OR($K279="Ghana", $K279="Nigeria"), "Anglophone", OR($K279="Togo", $K279="Benin", $K279="Senegal"), "Francophone")</f>
        <v>Francophone</v>
      </c>
      <c r="P279" s="1" t="str">
        <f>LEFT(Int_breweries[[#This Row],[MONTHS]], 3)</f>
        <v>Feb</v>
      </c>
    </row>
    <row r="280" spans="1:16" ht="12.5" x14ac:dyDescent="0.25">
      <c r="A280" s="1">
        <v>10379</v>
      </c>
      <c r="B280" s="1" t="s">
        <v>22</v>
      </c>
      <c r="C280" s="1" t="s">
        <v>23</v>
      </c>
      <c r="D280" t="s">
        <v>68</v>
      </c>
      <c r="E280" s="1">
        <v>80</v>
      </c>
      <c r="F280" s="1">
        <v>150</v>
      </c>
      <c r="G280" s="1">
        <v>798</v>
      </c>
      <c r="H280" s="1">
        <f>Int_breweries[[#This Row],[PLANT_COST]]*Int_breweries[[#This Row],[QUANTITY]]</f>
        <v>63840</v>
      </c>
      <c r="I280" s="1">
        <v>119700</v>
      </c>
      <c r="J280" s="1">
        <v>55860</v>
      </c>
      <c r="K280" s="1" t="s">
        <v>28</v>
      </c>
      <c r="L280" t="s">
        <v>15</v>
      </c>
      <c r="M280" s="1" t="s">
        <v>25</v>
      </c>
      <c r="N280" s="1">
        <v>2018</v>
      </c>
      <c r="O280" t="str" cm="1">
        <f t="array" ref="O280">_xlfn.IFS(OR($K280="Ghana", $K280="Nigeria"), "Anglophone", OR($K280="Togo", $K280="Benin", $K280="Senegal"), "Francophone")</f>
        <v>Francophone</v>
      </c>
      <c r="P280" s="1" t="str">
        <f>LEFT(Int_breweries[[#This Row],[MONTHS]], 3)</f>
        <v>Mar</v>
      </c>
    </row>
    <row r="281" spans="1:16" ht="12.5" x14ac:dyDescent="0.25">
      <c r="A281" s="1">
        <v>10380</v>
      </c>
      <c r="B281" s="1" t="s">
        <v>12</v>
      </c>
      <c r="C281" s="1" t="s">
        <v>13</v>
      </c>
      <c r="D281" t="s">
        <v>69</v>
      </c>
      <c r="E281" s="1">
        <v>90</v>
      </c>
      <c r="F281" s="1">
        <v>150</v>
      </c>
      <c r="G281" s="1">
        <v>728</v>
      </c>
      <c r="H281" s="1">
        <f>Int_breweries[[#This Row],[PLANT_COST]]*Int_breweries[[#This Row],[QUANTITY]]</f>
        <v>65520</v>
      </c>
      <c r="I281" s="1">
        <v>109200</v>
      </c>
      <c r="J281" s="1">
        <v>43680</v>
      </c>
      <c r="K281" s="1" t="s">
        <v>32</v>
      </c>
      <c r="L281" t="s">
        <v>58</v>
      </c>
      <c r="M281" s="1" t="s">
        <v>29</v>
      </c>
      <c r="N281" s="1">
        <v>2018</v>
      </c>
      <c r="O281" t="str" cm="1">
        <f t="array" ref="O281">_xlfn.IFS(OR($K281="Ghana", $K281="Nigeria"), "Anglophone", OR($K281="Togo", $K281="Benin", $K281="Senegal"), "Francophone")</f>
        <v>Francophone</v>
      </c>
      <c r="P281" s="1" t="str">
        <f>LEFT(Int_breweries[[#This Row],[MONTHS]], 3)</f>
        <v>Apr</v>
      </c>
    </row>
    <row r="282" spans="1:16" ht="12.5" x14ac:dyDescent="0.25">
      <c r="A282" s="1">
        <v>10381</v>
      </c>
      <c r="B282" s="1" t="s">
        <v>30</v>
      </c>
      <c r="C282" s="1" t="s">
        <v>31</v>
      </c>
      <c r="D282" t="s">
        <v>63</v>
      </c>
      <c r="E282" s="1">
        <v>150</v>
      </c>
      <c r="F282" s="1">
        <v>200</v>
      </c>
      <c r="G282" s="1">
        <v>948</v>
      </c>
      <c r="H282" s="1">
        <f>Int_breweries[[#This Row],[PLANT_COST]]*Int_breweries[[#This Row],[QUANTITY]]</f>
        <v>142200</v>
      </c>
      <c r="I282" s="1">
        <v>189600</v>
      </c>
      <c r="J282" s="1">
        <v>47400</v>
      </c>
      <c r="K282" s="1" t="s">
        <v>14</v>
      </c>
      <c r="L282" t="s">
        <v>59</v>
      </c>
      <c r="M282" s="1" t="s">
        <v>33</v>
      </c>
      <c r="N282" s="1">
        <v>2019</v>
      </c>
      <c r="O282" t="str" cm="1">
        <f t="array" ref="O282">_xlfn.IFS(OR($K282="Ghana", $K282="Nigeria"), "Anglophone", OR($K282="Togo", $K282="Benin", $K282="Senegal"), "Francophone")</f>
        <v>Anglophone</v>
      </c>
      <c r="P282" s="1" t="str">
        <f>LEFT(Int_breweries[[#This Row],[MONTHS]], 3)</f>
        <v>May</v>
      </c>
    </row>
    <row r="283" spans="1:16" ht="12.5" x14ac:dyDescent="0.25">
      <c r="A283" s="1">
        <v>10382</v>
      </c>
      <c r="B283" s="1" t="s">
        <v>42</v>
      </c>
      <c r="C283" s="1" t="s">
        <v>43</v>
      </c>
      <c r="D283" t="s">
        <v>64</v>
      </c>
      <c r="E283" s="1">
        <v>250</v>
      </c>
      <c r="F283" s="1">
        <v>500</v>
      </c>
      <c r="G283" s="1">
        <v>863</v>
      </c>
      <c r="H283" s="1">
        <f>Int_breweries[[#This Row],[PLANT_COST]]*Int_breweries[[#This Row],[QUANTITY]]</f>
        <v>215750</v>
      </c>
      <c r="I283" s="1">
        <v>431500</v>
      </c>
      <c r="J283" s="1">
        <v>215750</v>
      </c>
      <c r="K283" s="1" t="s">
        <v>19</v>
      </c>
      <c r="L283" t="s">
        <v>60</v>
      </c>
      <c r="M283" s="1" t="s">
        <v>34</v>
      </c>
      <c r="N283" s="1">
        <v>2017</v>
      </c>
      <c r="O283" t="str" cm="1">
        <f t="array" ref="O283">_xlfn.IFS(OR($K283="Ghana", $K283="Nigeria"), "Anglophone", OR($K283="Togo", $K283="Benin", $K283="Senegal"), "Francophone")</f>
        <v>Anglophone</v>
      </c>
      <c r="P283" s="1" t="str">
        <f>LEFT(Int_breweries[[#This Row],[MONTHS]], 3)</f>
        <v>Jun</v>
      </c>
    </row>
    <row r="284" spans="1:16" ht="12.5" x14ac:dyDescent="0.25">
      <c r="A284" s="1">
        <v>10383</v>
      </c>
      <c r="B284" s="1" t="s">
        <v>17</v>
      </c>
      <c r="C284" s="1" t="s">
        <v>18</v>
      </c>
      <c r="D284" t="s">
        <v>65</v>
      </c>
      <c r="E284" s="1">
        <v>180</v>
      </c>
      <c r="F284" s="1">
        <v>450</v>
      </c>
      <c r="G284" s="1">
        <v>913</v>
      </c>
      <c r="H284" s="1">
        <f>Int_breweries[[#This Row],[PLANT_COST]]*Int_breweries[[#This Row],[QUANTITY]]</f>
        <v>164340</v>
      </c>
      <c r="I284" s="1">
        <v>410850</v>
      </c>
      <c r="J284" s="1">
        <v>246510</v>
      </c>
      <c r="K284" s="1" t="s">
        <v>24</v>
      </c>
      <c r="L284" t="s">
        <v>61</v>
      </c>
      <c r="M284" s="1" t="s">
        <v>37</v>
      </c>
      <c r="N284" s="1">
        <v>2019</v>
      </c>
      <c r="O284" t="str" cm="1">
        <f t="array" ref="O284">_xlfn.IFS(OR($K284="Ghana", $K284="Nigeria"), "Anglophone", OR($K284="Togo", $K284="Benin", $K284="Senegal"), "Francophone")</f>
        <v>Francophone</v>
      </c>
      <c r="P284" s="1" t="str">
        <f>LEFT(Int_breweries[[#This Row],[MONTHS]], 3)</f>
        <v>Jul</v>
      </c>
    </row>
    <row r="285" spans="1:16" ht="12.5" x14ac:dyDescent="0.25">
      <c r="A285" s="1">
        <v>10384</v>
      </c>
      <c r="B285" s="1" t="s">
        <v>17</v>
      </c>
      <c r="C285" s="1" t="s">
        <v>18</v>
      </c>
      <c r="D285" t="s">
        <v>66</v>
      </c>
      <c r="E285" s="1">
        <v>170</v>
      </c>
      <c r="F285" s="1">
        <v>250</v>
      </c>
      <c r="G285" s="1">
        <v>711</v>
      </c>
      <c r="H285" s="1">
        <f>Int_breweries[[#This Row],[PLANT_COST]]*Int_breweries[[#This Row],[QUANTITY]]</f>
        <v>120870</v>
      </c>
      <c r="I285" s="1">
        <v>177750</v>
      </c>
      <c r="J285" s="1">
        <v>56880</v>
      </c>
      <c r="K285" s="1" t="s">
        <v>28</v>
      </c>
      <c r="L285" t="s">
        <v>62</v>
      </c>
      <c r="M285" s="1" t="s">
        <v>38</v>
      </c>
      <c r="N285" s="1">
        <v>2018</v>
      </c>
      <c r="O285" t="str" cm="1">
        <f t="array" ref="O285">_xlfn.IFS(OR($K285="Ghana", $K285="Nigeria"), "Anglophone", OR($K285="Togo", $K285="Benin", $K285="Senegal"), "Francophone")</f>
        <v>Francophone</v>
      </c>
      <c r="P285" s="1" t="str">
        <f>LEFT(Int_breweries[[#This Row],[MONTHS]], 3)</f>
        <v>Aug</v>
      </c>
    </row>
    <row r="286" spans="1:16" ht="12.5" x14ac:dyDescent="0.25">
      <c r="A286" s="1">
        <v>10385</v>
      </c>
      <c r="B286" s="1" t="s">
        <v>51</v>
      </c>
      <c r="C286" s="1" t="s">
        <v>52</v>
      </c>
      <c r="D286" t="s">
        <v>67</v>
      </c>
      <c r="E286" s="1">
        <v>150</v>
      </c>
      <c r="F286" s="1">
        <v>200</v>
      </c>
      <c r="G286" s="1">
        <v>717</v>
      </c>
      <c r="H286" s="1">
        <f>Int_breweries[[#This Row],[PLANT_COST]]*Int_breweries[[#This Row],[QUANTITY]]</f>
        <v>107550</v>
      </c>
      <c r="I286" s="1">
        <v>143400</v>
      </c>
      <c r="J286" s="1">
        <v>35850</v>
      </c>
      <c r="K286" s="1" t="s">
        <v>32</v>
      </c>
      <c r="L286" t="s">
        <v>15</v>
      </c>
      <c r="M286" s="1" t="s">
        <v>41</v>
      </c>
      <c r="N286" s="1">
        <v>2019</v>
      </c>
      <c r="O286" t="str" cm="1">
        <f t="array" ref="O286">_xlfn.IFS(OR($K286="Ghana", $K286="Nigeria"), "Anglophone", OR($K286="Togo", $K286="Benin", $K286="Senegal"), "Francophone")</f>
        <v>Francophone</v>
      </c>
      <c r="P286" s="1" t="str">
        <f>LEFT(Int_breweries[[#This Row],[MONTHS]], 3)</f>
        <v>Sep</v>
      </c>
    </row>
    <row r="287" spans="1:16" ht="12.5" x14ac:dyDescent="0.25">
      <c r="A287" s="1">
        <v>10386</v>
      </c>
      <c r="B287" s="1" t="s">
        <v>26</v>
      </c>
      <c r="C287" s="1" t="s">
        <v>27</v>
      </c>
      <c r="D287" t="s">
        <v>68</v>
      </c>
      <c r="E287" s="1">
        <v>80</v>
      </c>
      <c r="F287" s="1">
        <v>150</v>
      </c>
      <c r="G287" s="1">
        <v>862</v>
      </c>
      <c r="H287" s="1">
        <f>Int_breweries[[#This Row],[PLANT_COST]]*Int_breweries[[#This Row],[QUANTITY]]</f>
        <v>68960</v>
      </c>
      <c r="I287" s="1">
        <v>129300</v>
      </c>
      <c r="J287" s="1">
        <v>60340</v>
      </c>
      <c r="K287" s="1" t="s">
        <v>14</v>
      </c>
      <c r="L287" t="s">
        <v>58</v>
      </c>
      <c r="M287" s="1" t="s">
        <v>44</v>
      </c>
      <c r="N287" s="1">
        <v>2019</v>
      </c>
      <c r="O287" t="str" cm="1">
        <f t="array" ref="O287">_xlfn.IFS(OR($K287="Ghana", $K287="Nigeria"), "Anglophone", OR($K287="Togo", $K287="Benin", $K287="Senegal"), "Francophone")</f>
        <v>Anglophone</v>
      </c>
      <c r="P287" s="1" t="str">
        <f>LEFT(Int_breweries[[#This Row],[MONTHS]], 3)</f>
        <v>Oct</v>
      </c>
    </row>
    <row r="288" spans="1:16" ht="12.5" x14ac:dyDescent="0.25">
      <c r="A288" s="1">
        <v>10387</v>
      </c>
      <c r="B288" s="1" t="s">
        <v>39</v>
      </c>
      <c r="C288" s="1" t="s">
        <v>40</v>
      </c>
      <c r="D288" t="s">
        <v>69</v>
      </c>
      <c r="E288" s="1">
        <v>90</v>
      </c>
      <c r="F288" s="1">
        <v>150</v>
      </c>
      <c r="G288" s="1">
        <v>703</v>
      </c>
      <c r="H288" s="1">
        <f>Int_breweries[[#This Row],[PLANT_COST]]*Int_breweries[[#This Row],[QUANTITY]]</f>
        <v>63270</v>
      </c>
      <c r="I288" s="1">
        <v>105450</v>
      </c>
      <c r="J288" s="1">
        <v>42180</v>
      </c>
      <c r="K288" s="1" t="s">
        <v>19</v>
      </c>
      <c r="L288" t="s">
        <v>59</v>
      </c>
      <c r="M288" s="1" t="s">
        <v>47</v>
      </c>
      <c r="N288" s="1">
        <v>2017</v>
      </c>
      <c r="O288" t="str" cm="1">
        <f t="array" ref="O288">_xlfn.IFS(OR($K288="Ghana", $K288="Nigeria"), "Anglophone", OR($K288="Togo", $K288="Benin", $K288="Senegal"), "Francophone")</f>
        <v>Anglophone</v>
      </c>
      <c r="P288" s="1" t="str">
        <f>LEFT(Int_breweries[[#This Row],[MONTHS]], 3)</f>
        <v>Nov</v>
      </c>
    </row>
    <row r="289" spans="1:16" ht="12.5" x14ac:dyDescent="0.25">
      <c r="A289" s="1">
        <v>10388</v>
      </c>
      <c r="B289" s="1" t="s">
        <v>51</v>
      </c>
      <c r="C289" s="1" t="s">
        <v>52</v>
      </c>
      <c r="D289" t="s">
        <v>63</v>
      </c>
      <c r="E289" s="1">
        <v>150</v>
      </c>
      <c r="F289" s="1">
        <v>200</v>
      </c>
      <c r="G289" s="1">
        <v>962</v>
      </c>
      <c r="H289" s="1">
        <f>Int_breweries[[#This Row],[PLANT_COST]]*Int_breweries[[#This Row],[QUANTITY]]</f>
        <v>144300</v>
      </c>
      <c r="I289" s="1">
        <v>192400</v>
      </c>
      <c r="J289" s="1">
        <v>48100</v>
      </c>
      <c r="K289" s="1" t="s">
        <v>24</v>
      </c>
      <c r="L289" t="s">
        <v>60</v>
      </c>
      <c r="M289" s="1" t="s">
        <v>48</v>
      </c>
      <c r="N289" s="1">
        <v>2018</v>
      </c>
      <c r="O289" t="str" cm="1">
        <f t="array" ref="O289">_xlfn.IFS(OR($K289="Ghana", $K289="Nigeria"), "Anglophone", OR($K289="Togo", $K289="Benin", $K289="Senegal"), "Francophone")</f>
        <v>Francophone</v>
      </c>
      <c r="P289" s="1" t="str">
        <f>LEFT(Int_breweries[[#This Row],[MONTHS]], 3)</f>
        <v>Dec</v>
      </c>
    </row>
    <row r="290" spans="1:16" ht="12.5" x14ac:dyDescent="0.25">
      <c r="A290" s="1">
        <v>10389</v>
      </c>
      <c r="B290" s="1" t="s">
        <v>22</v>
      </c>
      <c r="C290" s="1" t="s">
        <v>23</v>
      </c>
      <c r="D290" t="s">
        <v>64</v>
      </c>
      <c r="E290" s="1">
        <v>250</v>
      </c>
      <c r="F290" s="1">
        <v>500</v>
      </c>
      <c r="G290" s="1">
        <v>807</v>
      </c>
      <c r="H290" s="1">
        <f>Int_breweries[[#This Row],[PLANT_COST]]*Int_breweries[[#This Row],[QUANTITY]]</f>
        <v>201750</v>
      </c>
      <c r="I290" s="1">
        <v>403500</v>
      </c>
      <c r="J290" s="1">
        <v>201750</v>
      </c>
      <c r="K290" s="1" t="s">
        <v>28</v>
      </c>
      <c r="L290" t="s">
        <v>61</v>
      </c>
      <c r="M290" s="1" t="s">
        <v>16</v>
      </c>
      <c r="N290" s="1">
        <v>2019</v>
      </c>
      <c r="O290" t="str" cm="1">
        <f t="array" ref="O290">_xlfn.IFS(OR($K290="Ghana", $K290="Nigeria"), "Anglophone", OR($K290="Togo", $K290="Benin", $K290="Senegal"), "Francophone")</f>
        <v>Francophone</v>
      </c>
      <c r="P290" s="1" t="str">
        <f>LEFT(Int_breweries[[#This Row],[MONTHS]], 3)</f>
        <v>Jan</v>
      </c>
    </row>
    <row r="291" spans="1:16" ht="12.5" x14ac:dyDescent="0.25">
      <c r="A291" s="1">
        <v>10390</v>
      </c>
      <c r="B291" s="1" t="s">
        <v>17</v>
      </c>
      <c r="C291" s="1" t="s">
        <v>18</v>
      </c>
      <c r="D291" t="s">
        <v>65</v>
      </c>
      <c r="E291" s="1">
        <v>180</v>
      </c>
      <c r="F291" s="1">
        <v>450</v>
      </c>
      <c r="G291" s="1">
        <v>950</v>
      </c>
      <c r="H291" s="1">
        <f>Int_breweries[[#This Row],[PLANT_COST]]*Int_breweries[[#This Row],[QUANTITY]]</f>
        <v>171000</v>
      </c>
      <c r="I291" s="1">
        <v>427500</v>
      </c>
      <c r="J291" s="1">
        <v>256500</v>
      </c>
      <c r="K291" s="1" t="s">
        <v>32</v>
      </c>
      <c r="L291" t="s">
        <v>62</v>
      </c>
      <c r="M291" s="1" t="s">
        <v>21</v>
      </c>
      <c r="N291" s="1">
        <v>2017</v>
      </c>
      <c r="O291" t="str" cm="1">
        <f t="array" ref="O291">_xlfn.IFS(OR($K291="Ghana", $K291="Nigeria"), "Anglophone", OR($K291="Togo", $K291="Benin", $K291="Senegal"), "Francophone")</f>
        <v>Francophone</v>
      </c>
      <c r="P291" s="1" t="str">
        <f>LEFT(Int_breweries[[#This Row],[MONTHS]], 3)</f>
        <v>Feb</v>
      </c>
    </row>
    <row r="292" spans="1:16" ht="12.5" x14ac:dyDescent="0.25">
      <c r="A292" s="1">
        <v>10391</v>
      </c>
      <c r="B292" s="1" t="s">
        <v>22</v>
      </c>
      <c r="C292" s="1" t="s">
        <v>23</v>
      </c>
      <c r="D292" t="s">
        <v>66</v>
      </c>
      <c r="E292" s="1">
        <v>170</v>
      </c>
      <c r="F292" s="1">
        <v>250</v>
      </c>
      <c r="G292" s="1">
        <v>949</v>
      </c>
      <c r="H292" s="1">
        <f>Int_breweries[[#This Row],[PLANT_COST]]*Int_breweries[[#This Row],[QUANTITY]]</f>
        <v>161330</v>
      </c>
      <c r="I292" s="1">
        <v>237250</v>
      </c>
      <c r="J292" s="1">
        <v>75920</v>
      </c>
      <c r="K292" s="1" t="s">
        <v>14</v>
      </c>
      <c r="L292" t="s">
        <v>15</v>
      </c>
      <c r="M292" s="1" t="s">
        <v>25</v>
      </c>
      <c r="N292" s="1">
        <v>2017</v>
      </c>
      <c r="O292" t="str" cm="1">
        <f t="array" ref="O292">_xlfn.IFS(OR($K292="Ghana", $K292="Nigeria"), "Anglophone", OR($K292="Togo", $K292="Benin", $K292="Senegal"), "Francophone")</f>
        <v>Anglophone</v>
      </c>
      <c r="P292" s="1" t="str">
        <f>LEFT(Int_breweries[[#This Row],[MONTHS]], 3)</f>
        <v>Mar</v>
      </c>
    </row>
    <row r="293" spans="1:16" ht="12.5" x14ac:dyDescent="0.25">
      <c r="A293" s="1">
        <v>10392</v>
      </c>
      <c r="B293" s="1" t="s">
        <v>35</v>
      </c>
      <c r="C293" s="1" t="s">
        <v>36</v>
      </c>
      <c r="D293" t="s">
        <v>67</v>
      </c>
      <c r="E293" s="1">
        <v>150</v>
      </c>
      <c r="F293" s="1">
        <v>200</v>
      </c>
      <c r="G293" s="1">
        <v>724</v>
      </c>
      <c r="H293" s="1">
        <f>Int_breweries[[#This Row],[PLANT_COST]]*Int_breweries[[#This Row],[QUANTITY]]</f>
        <v>108600</v>
      </c>
      <c r="I293" s="1">
        <v>144800</v>
      </c>
      <c r="J293" s="1">
        <v>36200</v>
      </c>
      <c r="K293" s="1" t="s">
        <v>19</v>
      </c>
      <c r="L293" t="s">
        <v>58</v>
      </c>
      <c r="M293" s="1" t="s">
        <v>29</v>
      </c>
      <c r="N293" s="1">
        <v>2017</v>
      </c>
      <c r="O293" t="str" cm="1">
        <f t="array" ref="O293">_xlfn.IFS(OR($K293="Ghana", $K293="Nigeria"), "Anglophone", OR($K293="Togo", $K293="Benin", $K293="Senegal"), "Francophone")</f>
        <v>Anglophone</v>
      </c>
      <c r="P293" s="1" t="str">
        <f>LEFT(Int_breweries[[#This Row],[MONTHS]], 3)</f>
        <v>Apr</v>
      </c>
    </row>
    <row r="294" spans="1:16" ht="12.5" x14ac:dyDescent="0.25">
      <c r="A294" s="1">
        <v>10393</v>
      </c>
      <c r="B294" s="1" t="s">
        <v>30</v>
      </c>
      <c r="C294" s="1" t="s">
        <v>31</v>
      </c>
      <c r="D294" t="s">
        <v>68</v>
      </c>
      <c r="E294" s="1">
        <v>80</v>
      </c>
      <c r="F294" s="1">
        <v>150</v>
      </c>
      <c r="G294" s="1">
        <v>717</v>
      </c>
      <c r="H294" s="1">
        <f>Int_breweries[[#This Row],[PLANT_COST]]*Int_breweries[[#This Row],[QUANTITY]]</f>
        <v>57360</v>
      </c>
      <c r="I294" s="1">
        <v>107550</v>
      </c>
      <c r="J294" s="1">
        <v>50190</v>
      </c>
      <c r="K294" s="1" t="s">
        <v>24</v>
      </c>
      <c r="L294" t="s">
        <v>59</v>
      </c>
      <c r="M294" s="1" t="s">
        <v>33</v>
      </c>
      <c r="N294" s="1">
        <v>2019</v>
      </c>
      <c r="O294" t="str" cm="1">
        <f t="array" ref="O294">_xlfn.IFS(OR($K294="Ghana", $K294="Nigeria"), "Anglophone", OR($K294="Togo", $K294="Benin", $K294="Senegal"), "Francophone")</f>
        <v>Francophone</v>
      </c>
      <c r="P294" s="1" t="str">
        <f>LEFT(Int_breweries[[#This Row],[MONTHS]], 3)</f>
        <v>May</v>
      </c>
    </row>
    <row r="295" spans="1:16" ht="12.5" x14ac:dyDescent="0.25">
      <c r="A295" s="1">
        <v>10394</v>
      </c>
      <c r="B295" s="1" t="s">
        <v>12</v>
      </c>
      <c r="C295" s="1" t="s">
        <v>13</v>
      </c>
      <c r="D295" t="s">
        <v>69</v>
      </c>
      <c r="E295" s="1">
        <v>90</v>
      </c>
      <c r="F295" s="1">
        <v>150</v>
      </c>
      <c r="G295" s="1">
        <v>933</v>
      </c>
      <c r="H295" s="1">
        <f>Int_breweries[[#This Row],[PLANT_COST]]*Int_breweries[[#This Row],[QUANTITY]]</f>
        <v>83970</v>
      </c>
      <c r="I295" s="1">
        <v>139950</v>
      </c>
      <c r="J295" s="1">
        <v>55980</v>
      </c>
      <c r="K295" s="1" t="s">
        <v>28</v>
      </c>
      <c r="L295" t="s">
        <v>60</v>
      </c>
      <c r="M295" s="1" t="s">
        <v>34</v>
      </c>
      <c r="N295" s="1">
        <v>2017</v>
      </c>
      <c r="O295" t="str" cm="1">
        <f t="array" ref="O295">_xlfn.IFS(OR($K295="Ghana", $K295="Nigeria"), "Anglophone", OR($K295="Togo", $K295="Benin", $K295="Senegal"), "Francophone")</f>
        <v>Francophone</v>
      </c>
      <c r="P295" s="1" t="str">
        <f>LEFT(Int_breweries[[#This Row],[MONTHS]], 3)</f>
        <v>Jun</v>
      </c>
    </row>
    <row r="296" spans="1:16" ht="12.5" x14ac:dyDescent="0.25">
      <c r="A296" s="1">
        <v>10395</v>
      </c>
      <c r="B296" s="1" t="s">
        <v>12</v>
      </c>
      <c r="C296" s="1" t="s">
        <v>13</v>
      </c>
      <c r="D296" t="s">
        <v>63</v>
      </c>
      <c r="E296" s="1">
        <v>150</v>
      </c>
      <c r="F296" s="1">
        <v>200</v>
      </c>
      <c r="G296" s="1">
        <v>930</v>
      </c>
      <c r="H296" s="1">
        <f>Int_breweries[[#This Row],[PLANT_COST]]*Int_breweries[[#This Row],[QUANTITY]]</f>
        <v>139500</v>
      </c>
      <c r="I296" s="1">
        <v>186000</v>
      </c>
      <c r="J296" s="1">
        <v>46500</v>
      </c>
      <c r="K296" s="1" t="s">
        <v>32</v>
      </c>
      <c r="L296" t="s">
        <v>61</v>
      </c>
      <c r="M296" s="1" t="s">
        <v>37</v>
      </c>
      <c r="N296" s="1">
        <v>2018</v>
      </c>
      <c r="O296" t="str" cm="1">
        <f t="array" ref="O296">_xlfn.IFS(OR($K296="Ghana", $K296="Nigeria"), "Anglophone", OR($K296="Togo", $K296="Benin", $K296="Senegal"), "Francophone")</f>
        <v>Francophone</v>
      </c>
      <c r="P296" s="1" t="str">
        <f>LEFT(Int_breweries[[#This Row],[MONTHS]], 3)</f>
        <v>Jul</v>
      </c>
    </row>
    <row r="297" spans="1:16" ht="12.5" x14ac:dyDescent="0.25">
      <c r="A297" s="1">
        <v>10396</v>
      </c>
      <c r="B297" s="1" t="s">
        <v>30</v>
      </c>
      <c r="C297" s="1" t="s">
        <v>31</v>
      </c>
      <c r="D297" t="s">
        <v>64</v>
      </c>
      <c r="E297" s="1">
        <v>250</v>
      </c>
      <c r="F297" s="1">
        <v>500</v>
      </c>
      <c r="G297" s="1">
        <v>959</v>
      </c>
      <c r="H297" s="1">
        <f>Int_breweries[[#This Row],[PLANT_COST]]*Int_breweries[[#This Row],[QUANTITY]]</f>
        <v>239750</v>
      </c>
      <c r="I297" s="1">
        <v>479500</v>
      </c>
      <c r="J297" s="1">
        <v>239750</v>
      </c>
      <c r="K297" s="1" t="s">
        <v>14</v>
      </c>
      <c r="L297" t="s">
        <v>62</v>
      </c>
      <c r="M297" s="1" t="s">
        <v>38</v>
      </c>
      <c r="N297" s="1">
        <v>2018</v>
      </c>
      <c r="O297" t="str" cm="1">
        <f t="array" ref="O297">_xlfn.IFS(OR($K297="Ghana", $K297="Nigeria"), "Anglophone", OR($K297="Togo", $K297="Benin", $K297="Senegal"), "Francophone")</f>
        <v>Anglophone</v>
      </c>
      <c r="P297" s="1" t="str">
        <f>LEFT(Int_breweries[[#This Row],[MONTHS]], 3)</f>
        <v>Aug</v>
      </c>
    </row>
    <row r="298" spans="1:16" ht="12.5" x14ac:dyDescent="0.25">
      <c r="A298" s="1">
        <v>10397</v>
      </c>
      <c r="B298" s="1" t="s">
        <v>26</v>
      </c>
      <c r="C298" s="1" t="s">
        <v>27</v>
      </c>
      <c r="D298" t="s">
        <v>65</v>
      </c>
      <c r="E298" s="1">
        <v>180</v>
      </c>
      <c r="F298" s="1">
        <v>450</v>
      </c>
      <c r="G298" s="1">
        <v>922</v>
      </c>
      <c r="H298" s="1">
        <f>Int_breweries[[#This Row],[PLANT_COST]]*Int_breweries[[#This Row],[QUANTITY]]</f>
        <v>165960</v>
      </c>
      <c r="I298" s="1">
        <v>414900</v>
      </c>
      <c r="J298" s="1">
        <v>248940</v>
      </c>
      <c r="K298" s="1" t="s">
        <v>19</v>
      </c>
      <c r="L298" t="s">
        <v>15</v>
      </c>
      <c r="M298" s="1" t="s">
        <v>41</v>
      </c>
      <c r="N298" s="1">
        <v>2017</v>
      </c>
      <c r="O298" t="str" cm="1">
        <f t="array" ref="O298">_xlfn.IFS(OR($K298="Ghana", $K298="Nigeria"), "Anglophone", OR($K298="Togo", $K298="Benin", $K298="Senegal"), "Francophone")</f>
        <v>Anglophone</v>
      </c>
      <c r="P298" s="1" t="str">
        <f>LEFT(Int_breweries[[#This Row],[MONTHS]], 3)</f>
        <v>Sep</v>
      </c>
    </row>
    <row r="299" spans="1:16" ht="12.5" x14ac:dyDescent="0.25">
      <c r="A299" s="1">
        <v>10398</v>
      </c>
      <c r="B299" s="1" t="s">
        <v>39</v>
      </c>
      <c r="C299" s="1" t="s">
        <v>40</v>
      </c>
      <c r="D299" t="s">
        <v>66</v>
      </c>
      <c r="E299" s="1">
        <v>170</v>
      </c>
      <c r="F299" s="1">
        <v>250</v>
      </c>
      <c r="G299" s="1">
        <v>957</v>
      </c>
      <c r="H299" s="1">
        <f>Int_breweries[[#This Row],[PLANT_COST]]*Int_breweries[[#This Row],[QUANTITY]]</f>
        <v>162690</v>
      </c>
      <c r="I299" s="1">
        <v>239250</v>
      </c>
      <c r="J299" s="1">
        <v>76560</v>
      </c>
      <c r="K299" s="1" t="s">
        <v>24</v>
      </c>
      <c r="L299" t="s">
        <v>58</v>
      </c>
      <c r="M299" s="1" t="s">
        <v>44</v>
      </c>
      <c r="N299" s="1">
        <v>2019</v>
      </c>
      <c r="O299" t="str" cm="1">
        <f t="array" ref="O299">_xlfn.IFS(OR($K299="Ghana", $K299="Nigeria"), "Anglophone", OR($K299="Togo", $K299="Benin", $K299="Senegal"), "Francophone")</f>
        <v>Francophone</v>
      </c>
      <c r="P299" s="1" t="str">
        <f>LEFT(Int_breweries[[#This Row],[MONTHS]], 3)</f>
        <v>Oct</v>
      </c>
    </row>
    <row r="300" spans="1:16" ht="12.5" x14ac:dyDescent="0.25">
      <c r="A300" s="1">
        <v>10399</v>
      </c>
      <c r="B300" s="1" t="s">
        <v>51</v>
      </c>
      <c r="C300" s="1" t="s">
        <v>52</v>
      </c>
      <c r="D300" t="s">
        <v>67</v>
      </c>
      <c r="E300" s="1">
        <v>150</v>
      </c>
      <c r="F300" s="1">
        <v>200</v>
      </c>
      <c r="G300" s="1">
        <v>958</v>
      </c>
      <c r="H300" s="1">
        <f>Int_breweries[[#This Row],[PLANT_COST]]*Int_breweries[[#This Row],[QUANTITY]]</f>
        <v>143700</v>
      </c>
      <c r="I300" s="1">
        <v>191600</v>
      </c>
      <c r="J300" s="1">
        <v>47900</v>
      </c>
      <c r="K300" s="1" t="s">
        <v>28</v>
      </c>
      <c r="L300" t="s">
        <v>59</v>
      </c>
      <c r="M300" s="1" t="s">
        <v>47</v>
      </c>
      <c r="N300" s="1">
        <v>2018</v>
      </c>
      <c r="O300" t="str" cm="1">
        <f t="array" ref="O300">_xlfn.IFS(OR($K300="Ghana", $K300="Nigeria"), "Anglophone", OR($K300="Togo", $K300="Benin", $K300="Senegal"), "Francophone")</f>
        <v>Francophone</v>
      </c>
      <c r="P300" s="1" t="str">
        <f>LEFT(Int_breweries[[#This Row],[MONTHS]], 3)</f>
        <v>Nov</v>
      </c>
    </row>
    <row r="301" spans="1:16" ht="12.5" x14ac:dyDescent="0.25">
      <c r="A301" s="1">
        <v>10400</v>
      </c>
      <c r="B301" s="1" t="s">
        <v>22</v>
      </c>
      <c r="C301" s="1" t="s">
        <v>23</v>
      </c>
      <c r="D301" t="s">
        <v>68</v>
      </c>
      <c r="E301" s="1">
        <v>80</v>
      </c>
      <c r="F301" s="1">
        <v>150</v>
      </c>
      <c r="G301" s="1">
        <v>784</v>
      </c>
      <c r="H301" s="1">
        <f>Int_breweries[[#This Row],[PLANT_COST]]*Int_breweries[[#This Row],[QUANTITY]]</f>
        <v>62720</v>
      </c>
      <c r="I301" s="1">
        <v>117600</v>
      </c>
      <c r="J301" s="1">
        <v>54880</v>
      </c>
      <c r="K301" s="1" t="s">
        <v>32</v>
      </c>
      <c r="L301" t="s">
        <v>60</v>
      </c>
      <c r="M301" s="1" t="s">
        <v>48</v>
      </c>
      <c r="N301" s="1">
        <v>2018</v>
      </c>
      <c r="O301" t="str" cm="1">
        <f t="array" ref="O301">_xlfn.IFS(OR($K301="Ghana", $K301="Nigeria"), "Anglophone", OR($K301="Togo", $K301="Benin", $K301="Senegal"), "Francophone")</f>
        <v>Francophone</v>
      </c>
      <c r="P301" s="1" t="str">
        <f>LEFT(Int_breweries[[#This Row],[MONTHS]], 3)</f>
        <v>Dec</v>
      </c>
    </row>
    <row r="302" spans="1:16" ht="12.5" x14ac:dyDescent="0.25">
      <c r="A302" s="1">
        <v>10401</v>
      </c>
      <c r="B302" s="1" t="s">
        <v>17</v>
      </c>
      <c r="C302" s="1" t="s">
        <v>18</v>
      </c>
      <c r="D302" t="s">
        <v>69</v>
      </c>
      <c r="E302" s="1">
        <v>90</v>
      </c>
      <c r="F302" s="1">
        <v>150</v>
      </c>
      <c r="G302" s="1">
        <v>966</v>
      </c>
      <c r="H302" s="1">
        <f>Int_breweries[[#This Row],[PLANT_COST]]*Int_breweries[[#This Row],[QUANTITY]]</f>
        <v>86940</v>
      </c>
      <c r="I302" s="1">
        <v>144900</v>
      </c>
      <c r="J302" s="1">
        <v>57960</v>
      </c>
      <c r="K302" s="1" t="s">
        <v>14</v>
      </c>
      <c r="L302" t="s">
        <v>61</v>
      </c>
      <c r="M302" s="1" t="s">
        <v>16</v>
      </c>
      <c r="N302" s="1">
        <v>2019</v>
      </c>
      <c r="O302" t="str" cm="1">
        <f t="array" ref="O302">_xlfn.IFS(OR($K302="Ghana", $K302="Nigeria"), "Anglophone", OR($K302="Togo", $K302="Benin", $K302="Senegal"), "Francophone")</f>
        <v>Anglophone</v>
      </c>
      <c r="P302" s="1" t="str">
        <f>LEFT(Int_breweries[[#This Row],[MONTHS]], 3)</f>
        <v>Jan</v>
      </c>
    </row>
    <row r="303" spans="1:16" ht="12.5" x14ac:dyDescent="0.25">
      <c r="A303" s="1">
        <v>10402</v>
      </c>
      <c r="B303" s="1" t="s">
        <v>22</v>
      </c>
      <c r="C303" s="1" t="s">
        <v>23</v>
      </c>
      <c r="D303" t="s">
        <v>63</v>
      </c>
      <c r="E303" s="1">
        <v>150</v>
      </c>
      <c r="F303" s="1">
        <v>200</v>
      </c>
      <c r="G303" s="1">
        <v>784</v>
      </c>
      <c r="H303" s="1">
        <f>Int_breweries[[#This Row],[PLANT_COST]]*Int_breweries[[#This Row],[QUANTITY]]</f>
        <v>117600</v>
      </c>
      <c r="I303" s="1">
        <v>156800</v>
      </c>
      <c r="J303" s="1">
        <v>39200</v>
      </c>
      <c r="K303" s="1" t="s">
        <v>19</v>
      </c>
      <c r="L303" t="s">
        <v>62</v>
      </c>
      <c r="M303" s="1" t="s">
        <v>21</v>
      </c>
      <c r="N303" s="1">
        <v>2018</v>
      </c>
      <c r="O303" t="str" cm="1">
        <f t="array" ref="O303">_xlfn.IFS(OR($K303="Ghana", $K303="Nigeria"), "Anglophone", OR($K303="Togo", $K303="Benin", $K303="Senegal"), "Francophone")</f>
        <v>Anglophone</v>
      </c>
      <c r="P303" s="1" t="str">
        <f>LEFT(Int_breweries[[#This Row],[MONTHS]], 3)</f>
        <v>Feb</v>
      </c>
    </row>
    <row r="304" spans="1:16" ht="12.5" x14ac:dyDescent="0.25">
      <c r="A304" s="1">
        <v>10403</v>
      </c>
      <c r="B304" s="1" t="s">
        <v>35</v>
      </c>
      <c r="C304" s="1" t="s">
        <v>36</v>
      </c>
      <c r="D304" t="s">
        <v>64</v>
      </c>
      <c r="E304" s="1">
        <v>250</v>
      </c>
      <c r="F304" s="1">
        <v>500</v>
      </c>
      <c r="G304" s="1">
        <v>998</v>
      </c>
      <c r="H304" s="1">
        <f>Int_breweries[[#This Row],[PLANT_COST]]*Int_breweries[[#This Row],[QUANTITY]]</f>
        <v>249500</v>
      </c>
      <c r="I304" s="1">
        <v>499000</v>
      </c>
      <c r="J304" s="1">
        <v>249500</v>
      </c>
      <c r="K304" s="1" t="s">
        <v>24</v>
      </c>
      <c r="L304" t="s">
        <v>15</v>
      </c>
      <c r="M304" s="1" t="s">
        <v>25</v>
      </c>
      <c r="N304" s="1">
        <v>2017</v>
      </c>
      <c r="O304" t="str" cm="1">
        <f t="array" ref="O304">_xlfn.IFS(OR($K304="Ghana", $K304="Nigeria"), "Anglophone", OR($K304="Togo", $K304="Benin", $K304="Senegal"), "Francophone")</f>
        <v>Francophone</v>
      </c>
      <c r="P304" s="1" t="str">
        <f>LEFT(Int_breweries[[#This Row],[MONTHS]], 3)</f>
        <v>Mar</v>
      </c>
    </row>
    <row r="305" spans="1:16" ht="12.5" x14ac:dyDescent="0.25">
      <c r="A305" s="1">
        <v>10404</v>
      </c>
      <c r="B305" s="1" t="s">
        <v>30</v>
      </c>
      <c r="C305" s="1" t="s">
        <v>31</v>
      </c>
      <c r="D305" t="s">
        <v>65</v>
      </c>
      <c r="E305" s="1">
        <v>180</v>
      </c>
      <c r="F305" s="1">
        <v>450</v>
      </c>
      <c r="G305" s="1">
        <v>951</v>
      </c>
      <c r="H305" s="1">
        <f>Int_breweries[[#This Row],[PLANT_COST]]*Int_breweries[[#This Row],[QUANTITY]]</f>
        <v>171180</v>
      </c>
      <c r="I305" s="1">
        <v>427950</v>
      </c>
      <c r="J305" s="1">
        <v>256770</v>
      </c>
      <c r="K305" s="1" t="s">
        <v>28</v>
      </c>
      <c r="L305" t="s">
        <v>58</v>
      </c>
      <c r="M305" s="1" t="s">
        <v>29</v>
      </c>
      <c r="N305" s="1">
        <v>2018</v>
      </c>
      <c r="O305" t="str" cm="1">
        <f t="array" ref="O305">_xlfn.IFS(OR($K305="Ghana", $K305="Nigeria"), "Anglophone", OR($K305="Togo", $K305="Benin", $K305="Senegal"), "Francophone")</f>
        <v>Francophone</v>
      </c>
      <c r="P305" s="1" t="str">
        <f>LEFT(Int_breweries[[#This Row],[MONTHS]], 3)</f>
        <v>Apr</v>
      </c>
    </row>
    <row r="306" spans="1:16" ht="12.5" x14ac:dyDescent="0.25">
      <c r="A306" s="1">
        <v>10405</v>
      </c>
      <c r="B306" s="1" t="s">
        <v>12</v>
      </c>
      <c r="C306" s="1" t="s">
        <v>13</v>
      </c>
      <c r="D306" t="s">
        <v>66</v>
      </c>
      <c r="E306" s="1">
        <v>170</v>
      </c>
      <c r="F306" s="1">
        <v>250</v>
      </c>
      <c r="G306" s="1">
        <v>973</v>
      </c>
      <c r="H306" s="1">
        <f>Int_breweries[[#This Row],[PLANT_COST]]*Int_breweries[[#This Row],[QUANTITY]]</f>
        <v>165410</v>
      </c>
      <c r="I306" s="1">
        <v>243250</v>
      </c>
      <c r="J306" s="1">
        <v>77840</v>
      </c>
      <c r="K306" s="1" t="s">
        <v>32</v>
      </c>
      <c r="L306" t="s">
        <v>59</v>
      </c>
      <c r="M306" s="1" t="s">
        <v>33</v>
      </c>
      <c r="N306" s="1">
        <v>2019</v>
      </c>
      <c r="O306" t="str" cm="1">
        <f t="array" ref="O306">_xlfn.IFS(OR($K306="Ghana", $K306="Nigeria"), "Anglophone", OR($K306="Togo", $K306="Benin", $K306="Senegal"), "Francophone")</f>
        <v>Francophone</v>
      </c>
      <c r="P306" s="1" t="str">
        <f>LEFT(Int_breweries[[#This Row],[MONTHS]], 3)</f>
        <v>May</v>
      </c>
    </row>
    <row r="307" spans="1:16" ht="12.5" x14ac:dyDescent="0.25">
      <c r="A307" s="1">
        <v>10406</v>
      </c>
      <c r="B307" s="1" t="s">
        <v>12</v>
      </c>
      <c r="C307" s="1" t="s">
        <v>13</v>
      </c>
      <c r="D307" t="s">
        <v>67</v>
      </c>
      <c r="E307" s="1">
        <v>150</v>
      </c>
      <c r="F307" s="1">
        <v>200</v>
      </c>
      <c r="G307" s="1">
        <v>704</v>
      </c>
      <c r="H307" s="1">
        <f>Int_breweries[[#This Row],[PLANT_COST]]*Int_breweries[[#This Row],[QUANTITY]]</f>
        <v>105600</v>
      </c>
      <c r="I307" s="1">
        <v>140800</v>
      </c>
      <c r="J307" s="1">
        <v>35200</v>
      </c>
      <c r="K307" s="1" t="s">
        <v>14</v>
      </c>
      <c r="L307" t="s">
        <v>60</v>
      </c>
      <c r="M307" s="1" t="s">
        <v>34</v>
      </c>
      <c r="N307" s="1">
        <v>2017</v>
      </c>
      <c r="O307" t="str" cm="1">
        <f t="array" ref="O307">_xlfn.IFS(OR($K307="Ghana", $K307="Nigeria"), "Anglophone", OR($K307="Togo", $K307="Benin", $K307="Senegal"), "Francophone")</f>
        <v>Anglophone</v>
      </c>
      <c r="P307" s="1" t="str">
        <f>LEFT(Int_breweries[[#This Row],[MONTHS]], 3)</f>
        <v>Jun</v>
      </c>
    </row>
    <row r="308" spans="1:16" ht="12.5" x14ac:dyDescent="0.25">
      <c r="A308" s="1">
        <v>10407</v>
      </c>
      <c r="B308" s="1" t="s">
        <v>30</v>
      </c>
      <c r="C308" s="1" t="s">
        <v>31</v>
      </c>
      <c r="D308" t="s">
        <v>68</v>
      </c>
      <c r="E308" s="1">
        <v>80</v>
      </c>
      <c r="F308" s="1">
        <v>150</v>
      </c>
      <c r="G308" s="1">
        <v>748</v>
      </c>
      <c r="H308" s="1">
        <f>Int_breweries[[#This Row],[PLANT_COST]]*Int_breweries[[#This Row],[QUANTITY]]</f>
        <v>59840</v>
      </c>
      <c r="I308" s="1">
        <v>112200</v>
      </c>
      <c r="J308" s="1">
        <v>52360</v>
      </c>
      <c r="K308" s="1" t="s">
        <v>19</v>
      </c>
      <c r="L308" t="s">
        <v>61</v>
      </c>
      <c r="M308" s="1" t="s">
        <v>37</v>
      </c>
      <c r="N308" s="1">
        <v>2019</v>
      </c>
      <c r="O308" t="str" cm="1">
        <f t="array" ref="O308">_xlfn.IFS(OR($K308="Ghana", $K308="Nigeria"), "Anglophone", OR($K308="Togo", $K308="Benin", $K308="Senegal"), "Francophone")</f>
        <v>Anglophone</v>
      </c>
      <c r="P308" s="1" t="str">
        <f>LEFT(Int_breweries[[#This Row],[MONTHS]], 3)</f>
        <v>Jul</v>
      </c>
    </row>
    <row r="309" spans="1:16" ht="12.5" x14ac:dyDescent="0.25">
      <c r="A309" s="1">
        <v>10408</v>
      </c>
      <c r="B309" s="1" t="s">
        <v>12</v>
      </c>
      <c r="C309" s="1" t="s">
        <v>13</v>
      </c>
      <c r="D309" t="s">
        <v>69</v>
      </c>
      <c r="E309" s="1">
        <v>90</v>
      </c>
      <c r="F309" s="1">
        <v>150</v>
      </c>
      <c r="G309" s="1">
        <v>972</v>
      </c>
      <c r="H309" s="1">
        <f>Int_breweries[[#This Row],[PLANT_COST]]*Int_breweries[[#This Row],[QUANTITY]]</f>
        <v>87480</v>
      </c>
      <c r="I309" s="1">
        <v>145800</v>
      </c>
      <c r="J309" s="1">
        <v>58320</v>
      </c>
      <c r="K309" s="1" t="s">
        <v>24</v>
      </c>
      <c r="L309" t="s">
        <v>62</v>
      </c>
      <c r="M309" s="1" t="s">
        <v>38</v>
      </c>
      <c r="N309" s="1">
        <v>2017</v>
      </c>
      <c r="O309" t="str" cm="1">
        <f t="array" ref="O309">_xlfn.IFS(OR($K309="Ghana", $K309="Nigeria"), "Anglophone", OR($K309="Togo", $K309="Benin", $K309="Senegal"), "Francophone")</f>
        <v>Francophone</v>
      </c>
      <c r="P309" s="1" t="str">
        <f>LEFT(Int_breweries[[#This Row],[MONTHS]], 3)</f>
        <v>Aug</v>
      </c>
    </row>
    <row r="310" spans="1:16" ht="12.5" x14ac:dyDescent="0.25">
      <c r="A310" s="1">
        <v>10409</v>
      </c>
      <c r="B310" s="1" t="s">
        <v>17</v>
      </c>
      <c r="C310" s="1" t="s">
        <v>18</v>
      </c>
      <c r="D310" t="s">
        <v>63</v>
      </c>
      <c r="E310" s="1">
        <v>150</v>
      </c>
      <c r="F310" s="1">
        <v>200</v>
      </c>
      <c r="G310" s="1">
        <v>859</v>
      </c>
      <c r="H310" s="1">
        <f>Int_breweries[[#This Row],[PLANT_COST]]*Int_breweries[[#This Row],[QUANTITY]]</f>
        <v>128850</v>
      </c>
      <c r="I310" s="1">
        <v>171800</v>
      </c>
      <c r="J310" s="1">
        <v>42950</v>
      </c>
      <c r="K310" s="1" t="s">
        <v>28</v>
      </c>
      <c r="L310" t="s">
        <v>15</v>
      </c>
      <c r="M310" s="1" t="s">
        <v>41</v>
      </c>
      <c r="N310" s="1">
        <v>2017</v>
      </c>
      <c r="O310" t="str" cm="1">
        <f t="array" ref="O310">_xlfn.IFS(OR($K310="Ghana", $K310="Nigeria"), "Anglophone", OR($K310="Togo", $K310="Benin", $K310="Senegal"), "Francophone")</f>
        <v>Francophone</v>
      </c>
      <c r="P310" s="1" t="str">
        <f>LEFT(Int_breweries[[#This Row],[MONTHS]], 3)</f>
        <v>Sep</v>
      </c>
    </row>
    <row r="311" spans="1:16" ht="12.5" x14ac:dyDescent="0.25">
      <c r="A311" s="1">
        <v>10410</v>
      </c>
      <c r="B311" s="1" t="s">
        <v>22</v>
      </c>
      <c r="C311" s="1" t="s">
        <v>23</v>
      </c>
      <c r="D311" t="s">
        <v>64</v>
      </c>
      <c r="E311" s="1">
        <v>250</v>
      </c>
      <c r="F311" s="1">
        <v>500</v>
      </c>
      <c r="G311" s="1">
        <v>825</v>
      </c>
      <c r="H311" s="1">
        <f>Int_breweries[[#This Row],[PLANT_COST]]*Int_breweries[[#This Row],[QUANTITY]]</f>
        <v>206250</v>
      </c>
      <c r="I311" s="1">
        <v>412500</v>
      </c>
      <c r="J311" s="1">
        <v>206250</v>
      </c>
      <c r="K311" s="1" t="s">
        <v>32</v>
      </c>
      <c r="L311" t="s">
        <v>58</v>
      </c>
      <c r="M311" s="1" t="s">
        <v>44</v>
      </c>
      <c r="N311" s="1">
        <v>2017</v>
      </c>
      <c r="O311" t="str" cm="1">
        <f t="array" ref="O311">_xlfn.IFS(OR($K311="Ghana", $K311="Nigeria"), "Anglophone", OR($K311="Togo", $K311="Benin", $K311="Senegal"), "Francophone")</f>
        <v>Francophone</v>
      </c>
      <c r="P311" s="1" t="str">
        <f>LEFT(Int_breweries[[#This Row],[MONTHS]], 3)</f>
        <v>Oct</v>
      </c>
    </row>
    <row r="312" spans="1:16" ht="12.5" x14ac:dyDescent="0.25">
      <c r="A312" s="1">
        <v>10411</v>
      </c>
      <c r="B312" s="1" t="s">
        <v>26</v>
      </c>
      <c r="C312" s="1" t="s">
        <v>27</v>
      </c>
      <c r="D312" t="s">
        <v>65</v>
      </c>
      <c r="E312" s="1">
        <v>180</v>
      </c>
      <c r="F312" s="1">
        <v>450</v>
      </c>
      <c r="G312" s="1">
        <v>997</v>
      </c>
      <c r="H312" s="1">
        <f>Int_breweries[[#This Row],[PLANT_COST]]*Int_breweries[[#This Row],[QUANTITY]]</f>
        <v>179460</v>
      </c>
      <c r="I312" s="1">
        <v>448650</v>
      </c>
      <c r="J312" s="1">
        <v>269190</v>
      </c>
      <c r="K312" s="1" t="s">
        <v>14</v>
      </c>
      <c r="L312" t="s">
        <v>59</v>
      </c>
      <c r="M312" s="1" t="s">
        <v>47</v>
      </c>
      <c r="N312" s="1">
        <v>2019</v>
      </c>
      <c r="O312" t="str" cm="1">
        <f t="array" ref="O312">_xlfn.IFS(OR($K312="Ghana", $K312="Nigeria"), "Anglophone", OR($K312="Togo", $K312="Benin", $K312="Senegal"), "Francophone")</f>
        <v>Anglophone</v>
      </c>
      <c r="P312" s="1" t="str">
        <f>LEFT(Int_breweries[[#This Row],[MONTHS]], 3)</f>
        <v>Nov</v>
      </c>
    </row>
    <row r="313" spans="1:16" ht="12.5" x14ac:dyDescent="0.25">
      <c r="A313" s="1">
        <v>10412</v>
      </c>
      <c r="B313" s="1" t="s">
        <v>30</v>
      </c>
      <c r="C313" s="1" t="s">
        <v>31</v>
      </c>
      <c r="D313" t="s">
        <v>66</v>
      </c>
      <c r="E313" s="1">
        <v>170</v>
      </c>
      <c r="F313" s="1">
        <v>250</v>
      </c>
      <c r="G313" s="1">
        <v>789</v>
      </c>
      <c r="H313" s="1">
        <f>Int_breweries[[#This Row],[PLANT_COST]]*Int_breweries[[#This Row],[QUANTITY]]</f>
        <v>134130</v>
      </c>
      <c r="I313" s="1">
        <v>197250</v>
      </c>
      <c r="J313" s="1">
        <v>63120</v>
      </c>
      <c r="K313" s="1" t="s">
        <v>19</v>
      </c>
      <c r="L313" t="s">
        <v>60</v>
      </c>
      <c r="M313" s="1" t="s">
        <v>48</v>
      </c>
      <c r="N313" s="1">
        <v>2019</v>
      </c>
      <c r="O313" t="str" cm="1">
        <f t="array" ref="O313">_xlfn.IFS(OR($K313="Ghana", $K313="Nigeria"), "Anglophone", OR($K313="Togo", $K313="Benin", $K313="Senegal"), "Francophone")</f>
        <v>Anglophone</v>
      </c>
      <c r="P313" s="1" t="str">
        <f>LEFT(Int_breweries[[#This Row],[MONTHS]], 3)</f>
        <v>Dec</v>
      </c>
    </row>
    <row r="314" spans="1:16" ht="12.5" x14ac:dyDescent="0.25">
      <c r="A314" s="1">
        <v>10413</v>
      </c>
      <c r="B314" s="1" t="s">
        <v>12</v>
      </c>
      <c r="C314" s="1" t="s">
        <v>13</v>
      </c>
      <c r="D314" t="s">
        <v>67</v>
      </c>
      <c r="E314" s="1">
        <v>150</v>
      </c>
      <c r="F314" s="1">
        <v>200</v>
      </c>
      <c r="G314" s="1">
        <v>934</v>
      </c>
      <c r="H314" s="1">
        <f>Int_breweries[[#This Row],[PLANT_COST]]*Int_breweries[[#This Row],[QUANTITY]]</f>
        <v>140100</v>
      </c>
      <c r="I314" s="1">
        <v>186800</v>
      </c>
      <c r="J314" s="1">
        <v>46700</v>
      </c>
      <c r="K314" s="1" t="s">
        <v>24</v>
      </c>
      <c r="L314" t="s">
        <v>61</v>
      </c>
      <c r="M314" s="1" t="s">
        <v>16</v>
      </c>
      <c r="N314" s="1">
        <v>2019</v>
      </c>
      <c r="O314" t="str" cm="1">
        <f t="array" ref="O314">_xlfn.IFS(OR($K314="Ghana", $K314="Nigeria"), "Anglophone", OR($K314="Togo", $K314="Benin", $K314="Senegal"), "Francophone")</f>
        <v>Francophone</v>
      </c>
      <c r="P314" s="1" t="str">
        <f>LEFT(Int_breweries[[#This Row],[MONTHS]], 3)</f>
        <v>Jan</v>
      </c>
    </row>
    <row r="315" spans="1:16" ht="12.5" x14ac:dyDescent="0.25">
      <c r="A315" s="1">
        <v>10414</v>
      </c>
      <c r="B315" s="1" t="s">
        <v>35</v>
      </c>
      <c r="C315" s="1" t="s">
        <v>36</v>
      </c>
      <c r="D315" t="s">
        <v>68</v>
      </c>
      <c r="E315" s="1">
        <v>80</v>
      </c>
      <c r="F315" s="1">
        <v>150</v>
      </c>
      <c r="G315" s="1">
        <v>773</v>
      </c>
      <c r="H315" s="1">
        <f>Int_breweries[[#This Row],[PLANT_COST]]*Int_breweries[[#This Row],[QUANTITY]]</f>
        <v>61840</v>
      </c>
      <c r="I315" s="1">
        <v>115950</v>
      </c>
      <c r="J315" s="1">
        <v>54110</v>
      </c>
      <c r="K315" s="1" t="s">
        <v>28</v>
      </c>
      <c r="L315" t="s">
        <v>62</v>
      </c>
      <c r="M315" s="1" t="s">
        <v>21</v>
      </c>
      <c r="N315" s="1">
        <v>2017</v>
      </c>
      <c r="O315" t="str" cm="1">
        <f t="array" ref="O315">_xlfn.IFS(OR($K315="Ghana", $K315="Nigeria"), "Anglophone", OR($K315="Togo", $K315="Benin", $K315="Senegal"), "Francophone")</f>
        <v>Francophone</v>
      </c>
      <c r="P315" s="1" t="str">
        <f>LEFT(Int_breweries[[#This Row],[MONTHS]], 3)</f>
        <v>Feb</v>
      </c>
    </row>
    <row r="316" spans="1:16" ht="12.5" x14ac:dyDescent="0.25">
      <c r="A316" s="1">
        <v>10415</v>
      </c>
      <c r="B316" s="1" t="s">
        <v>26</v>
      </c>
      <c r="C316" s="1" t="s">
        <v>27</v>
      </c>
      <c r="D316" t="s">
        <v>69</v>
      </c>
      <c r="E316" s="1">
        <v>90</v>
      </c>
      <c r="F316" s="1">
        <v>150</v>
      </c>
      <c r="G316" s="1">
        <v>786</v>
      </c>
      <c r="H316" s="1">
        <f>Int_breweries[[#This Row],[PLANT_COST]]*Int_breweries[[#This Row],[QUANTITY]]</f>
        <v>70740</v>
      </c>
      <c r="I316" s="1">
        <v>117900</v>
      </c>
      <c r="J316" s="1">
        <v>47160</v>
      </c>
      <c r="K316" s="1" t="s">
        <v>32</v>
      </c>
      <c r="L316" t="s">
        <v>15</v>
      </c>
      <c r="M316" s="1" t="s">
        <v>25</v>
      </c>
      <c r="N316" s="1">
        <v>2017</v>
      </c>
      <c r="O316" t="str" cm="1">
        <f t="array" ref="O316">_xlfn.IFS(OR($K316="Ghana", $K316="Nigeria"), "Anglophone", OR($K316="Togo", $K316="Benin", $K316="Senegal"), "Francophone")</f>
        <v>Francophone</v>
      </c>
      <c r="P316" s="1" t="str">
        <f>LEFT(Int_breweries[[#This Row],[MONTHS]], 3)</f>
        <v>Mar</v>
      </c>
    </row>
    <row r="317" spans="1:16" ht="12.5" x14ac:dyDescent="0.25">
      <c r="A317" s="1">
        <v>10416</v>
      </c>
      <c r="B317" s="1" t="s">
        <v>39</v>
      </c>
      <c r="C317" s="1" t="s">
        <v>40</v>
      </c>
      <c r="D317" t="s">
        <v>63</v>
      </c>
      <c r="E317" s="1">
        <v>150</v>
      </c>
      <c r="F317" s="1">
        <v>200</v>
      </c>
      <c r="G317" s="1">
        <v>991</v>
      </c>
      <c r="H317" s="1">
        <f>Int_breweries[[#This Row],[PLANT_COST]]*Int_breweries[[#This Row],[QUANTITY]]</f>
        <v>148650</v>
      </c>
      <c r="I317" s="1">
        <v>198200</v>
      </c>
      <c r="J317" s="1">
        <v>49550</v>
      </c>
      <c r="K317" s="1" t="s">
        <v>14</v>
      </c>
      <c r="L317" t="s">
        <v>58</v>
      </c>
      <c r="M317" s="1" t="s">
        <v>29</v>
      </c>
      <c r="N317" s="1">
        <v>2017</v>
      </c>
      <c r="O317" t="str" cm="1">
        <f t="array" ref="O317">_xlfn.IFS(OR($K317="Ghana", $K317="Nigeria"), "Anglophone", OR($K317="Togo", $K317="Benin", $K317="Senegal"), "Francophone")</f>
        <v>Anglophone</v>
      </c>
      <c r="P317" s="1" t="str">
        <f>LEFT(Int_breweries[[#This Row],[MONTHS]], 3)</f>
        <v>Apr</v>
      </c>
    </row>
    <row r="318" spans="1:16" ht="12.5" x14ac:dyDescent="0.25">
      <c r="A318" s="1">
        <v>10417</v>
      </c>
      <c r="B318" s="1" t="s">
        <v>42</v>
      </c>
      <c r="C318" s="1" t="s">
        <v>43</v>
      </c>
      <c r="D318" t="s">
        <v>64</v>
      </c>
      <c r="E318" s="1">
        <v>250</v>
      </c>
      <c r="F318" s="1">
        <v>500</v>
      </c>
      <c r="G318" s="1">
        <v>886</v>
      </c>
      <c r="H318" s="1">
        <f>Int_breweries[[#This Row],[PLANT_COST]]*Int_breweries[[#This Row],[QUANTITY]]</f>
        <v>221500</v>
      </c>
      <c r="I318" s="1">
        <v>443000</v>
      </c>
      <c r="J318" s="1">
        <v>221500</v>
      </c>
      <c r="K318" s="1" t="s">
        <v>19</v>
      </c>
      <c r="L318" t="s">
        <v>59</v>
      </c>
      <c r="M318" s="1" t="s">
        <v>33</v>
      </c>
      <c r="N318" s="1">
        <v>2017</v>
      </c>
      <c r="O318" t="str" cm="1">
        <f t="array" ref="O318">_xlfn.IFS(OR($K318="Ghana", $K318="Nigeria"), "Anglophone", OR($K318="Togo", $K318="Benin", $K318="Senegal"), "Francophone")</f>
        <v>Anglophone</v>
      </c>
      <c r="P318" s="1" t="str">
        <f>LEFT(Int_breweries[[#This Row],[MONTHS]], 3)</f>
        <v>May</v>
      </c>
    </row>
    <row r="319" spans="1:16" ht="12.5" x14ac:dyDescent="0.25">
      <c r="A319" s="1">
        <v>10418</v>
      </c>
      <c r="B319" s="1" t="s">
        <v>45</v>
      </c>
      <c r="C319" s="1" t="s">
        <v>46</v>
      </c>
      <c r="D319" t="s">
        <v>65</v>
      </c>
      <c r="E319" s="1">
        <v>180</v>
      </c>
      <c r="F319" s="1">
        <v>450</v>
      </c>
      <c r="G319" s="1">
        <v>987</v>
      </c>
      <c r="H319" s="1">
        <f>Int_breweries[[#This Row],[PLANT_COST]]*Int_breweries[[#This Row],[QUANTITY]]</f>
        <v>177660</v>
      </c>
      <c r="I319" s="1">
        <v>444150</v>
      </c>
      <c r="J319" s="1">
        <v>266490</v>
      </c>
      <c r="K319" s="1" t="s">
        <v>24</v>
      </c>
      <c r="L319" t="s">
        <v>60</v>
      </c>
      <c r="M319" s="1" t="s">
        <v>34</v>
      </c>
      <c r="N319" s="1">
        <v>2018</v>
      </c>
      <c r="O319" t="str" cm="1">
        <f t="array" ref="O319">_xlfn.IFS(OR($K319="Ghana", $K319="Nigeria"), "Anglophone", OR($K319="Togo", $K319="Benin", $K319="Senegal"), "Francophone")</f>
        <v>Francophone</v>
      </c>
      <c r="P319" s="1" t="str">
        <f>LEFT(Int_breweries[[#This Row],[MONTHS]], 3)</f>
        <v>Jun</v>
      </c>
    </row>
    <row r="320" spans="1:16" ht="12.5" x14ac:dyDescent="0.25">
      <c r="A320" s="1">
        <v>10419</v>
      </c>
      <c r="B320" s="1" t="s">
        <v>26</v>
      </c>
      <c r="C320" s="1" t="s">
        <v>27</v>
      </c>
      <c r="D320" t="s">
        <v>66</v>
      </c>
      <c r="E320" s="1">
        <v>170</v>
      </c>
      <c r="F320" s="1">
        <v>250</v>
      </c>
      <c r="G320" s="1">
        <v>772</v>
      </c>
      <c r="H320" s="1">
        <f>Int_breweries[[#This Row],[PLANT_COST]]*Int_breweries[[#This Row],[QUANTITY]]</f>
        <v>131240</v>
      </c>
      <c r="I320" s="1">
        <v>193000</v>
      </c>
      <c r="J320" s="1">
        <v>61760</v>
      </c>
      <c r="K320" s="1" t="s">
        <v>28</v>
      </c>
      <c r="L320" t="s">
        <v>61</v>
      </c>
      <c r="M320" s="1" t="s">
        <v>37</v>
      </c>
      <c r="N320" s="1">
        <v>2018</v>
      </c>
      <c r="O320" t="str" cm="1">
        <f t="array" ref="O320">_xlfn.IFS(OR($K320="Ghana", $K320="Nigeria"), "Anglophone", OR($K320="Togo", $K320="Benin", $K320="Senegal"), "Francophone")</f>
        <v>Francophone</v>
      </c>
      <c r="P320" s="1" t="str">
        <f>LEFT(Int_breweries[[#This Row],[MONTHS]], 3)</f>
        <v>Jul</v>
      </c>
    </row>
    <row r="321" spans="1:16" ht="12.5" x14ac:dyDescent="0.25">
      <c r="A321" s="1">
        <v>10420</v>
      </c>
      <c r="B321" s="1" t="s">
        <v>49</v>
      </c>
      <c r="C321" s="1" t="s">
        <v>50</v>
      </c>
      <c r="D321" t="s">
        <v>67</v>
      </c>
      <c r="E321" s="1">
        <v>150</v>
      </c>
      <c r="F321" s="1">
        <v>200</v>
      </c>
      <c r="G321" s="1">
        <v>760</v>
      </c>
      <c r="H321" s="1">
        <f>Int_breweries[[#This Row],[PLANT_COST]]*Int_breweries[[#This Row],[QUANTITY]]</f>
        <v>114000</v>
      </c>
      <c r="I321" s="1">
        <v>152000</v>
      </c>
      <c r="J321" s="1">
        <v>38000</v>
      </c>
      <c r="K321" s="1" t="s">
        <v>32</v>
      </c>
      <c r="L321" t="s">
        <v>62</v>
      </c>
      <c r="M321" s="1" t="s">
        <v>38</v>
      </c>
      <c r="N321" s="1">
        <v>2018</v>
      </c>
      <c r="O321" t="str" cm="1">
        <f t="array" ref="O321">_xlfn.IFS(OR($K321="Ghana", $K321="Nigeria"), "Anglophone", OR($K321="Togo", $K321="Benin", $K321="Senegal"), "Francophone")</f>
        <v>Francophone</v>
      </c>
      <c r="P321" s="1" t="str">
        <f>LEFT(Int_breweries[[#This Row],[MONTHS]], 3)</f>
        <v>Aug</v>
      </c>
    </row>
    <row r="322" spans="1:16" ht="12.5" x14ac:dyDescent="0.25">
      <c r="A322" s="1">
        <v>10421</v>
      </c>
      <c r="B322" s="1" t="s">
        <v>26</v>
      </c>
      <c r="C322" s="1" t="s">
        <v>27</v>
      </c>
      <c r="D322" t="s">
        <v>68</v>
      </c>
      <c r="E322" s="1">
        <v>80</v>
      </c>
      <c r="F322" s="1">
        <v>150</v>
      </c>
      <c r="G322" s="1">
        <v>778</v>
      </c>
      <c r="H322" s="1">
        <f>Int_breweries[[#This Row],[PLANT_COST]]*Int_breweries[[#This Row],[QUANTITY]]</f>
        <v>62240</v>
      </c>
      <c r="I322" s="1">
        <v>116700</v>
      </c>
      <c r="J322" s="1">
        <v>54460</v>
      </c>
      <c r="K322" s="1" t="s">
        <v>14</v>
      </c>
      <c r="L322" t="s">
        <v>15</v>
      </c>
      <c r="M322" s="1" t="s">
        <v>41</v>
      </c>
      <c r="N322" s="1">
        <v>2017</v>
      </c>
      <c r="O322" t="str" cm="1">
        <f t="array" ref="O322">_xlfn.IFS(OR($K322="Ghana", $K322="Nigeria"), "Anglophone", OR($K322="Togo", $K322="Benin", $K322="Senegal"), "Francophone")</f>
        <v>Anglophone</v>
      </c>
      <c r="P322" s="1" t="str">
        <f>LEFT(Int_breweries[[#This Row],[MONTHS]], 3)</f>
        <v>Sep</v>
      </c>
    </row>
    <row r="323" spans="1:16" ht="12.5" x14ac:dyDescent="0.25">
      <c r="A323" s="1">
        <v>10422</v>
      </c>
      <c r="B323" s="1" t="s">
        <v>12</v>
      </c>
      <c r="C323" s="1" t="s">
        <v>13</v>
      </c>
      <c r="D323" t="s">
        <v>69</v>
      </c>
      <c r="E323" s="1">
        <v>90</v>
      </c>
      <c r="F323" s="1">
        <v>150</v>
      </c>
      <c r="G323" s="1">
        <v>716</v>
      </c>
      <c r="H323" s="1">
        <f>Int_breweries[[#This Row],[PLANT_COST]]*Int_breweries[[#This Row],[QUANTITY]]</f>
        <v>64440</v>
      </c>
      <c r="I323" s="1">
        <v>107400</v>
      </c>
      <c r="J323" s="1">
        <v>42960</v>
      </c>
      <c r="K323" s="1" t="s">
        <v>19</v>
      </c>
      <c r="L323" t="s">
        <v>58</v>
      </c>
      <c r="M323" s="1" t="s">
        <v>44</v>
      </c>
      <c r="N323" s="1">
        <v>2019</v>
      </c>
      <c r="O323" t="str" cm="1">
        <f t="array" ref="O323">_xlfn.IFS(OR($K323="Ghana", $K323="Nigeria"), "Anglophone", OR($K323="Togo", $K323="Benin", $K323="Senegal"), "Francophone")</f>
        <v>Anglophone</v>
      </c>
      <c r="P323" s="1" t="str">
        <f>LEFT(Int_breweries[[#This Row],[MONTHS]], 3)</f>
        <v>Oct</v>
      </c>
    </row>
    <row r="324" spans="1:16" ht="12.5" x14ac:dyDescent="0.25">
      <c r="A324" s="1">
        <v>10423</v>
      </c>
      <c r="B324" s="1" t="s">
        <v>17</v>
      </c>
      <c r="C324" s="1" t="s">
        <v>18</v>
      </c>
      <c r="D324" t="s">
        <v>63</v>
      </c>
      <c r="E324" s="1">
        <v>150</v>
      </c>
      <c r="F324" s="1">
        <v>200</v>
      </c>
      <c r="G324" s="1">
        <v>775</v>
      </c>
      <c r="H324" s="1">
        <f>Int_breweries[[#This Row],[PLANT_COST]]*Int_breweries[[#This Row],[QUANTITY]]</f>
        <v>116250</v>
      </c>
      <c r="I324" s="1">
        <v>155000</v>
      </c>
      <c r="J324" s="1">
        <v>38750</v>
      </c>
      <c r="K324" s="1" t="s">
        <v>24</v>
      </c>
      <c r="L324" t="s">
        <v>59</v>
      </c>
      <c r="M324" s="1" t="s">
        <v>47</v>
      </c>
      <c r="N324" s="1">
        <v>2018</v>
      </c>
      <c r="O324" t="str" cm="1">
        <f t="array" ref="O324">_xlfn.IFS(OR($K324="Ghana", $K324="Nigeria"), "Anglophone", OR($K324="Togo", $K324="Benin", $K324="Senegal"), "Francophone")</f>
        <v>Francophone</v>
      </c>
      <c r="P324" s="1" t="str">
        <f>LEFT(Int_breweries[[#This Row],[MONTHS]], 3)</f>
        <v>Nov</v>
      </c>
    </row>
    <row r="325" spans="1:16" ht="12.5" x14ac:dyDescent="0.25">
      <c r="A325" s="1">
        <v>10424</v>
      </c>
      <c r="B325" s="1" t="s">
        <v>22</v>
      </c>
      <c r="C325" s="1" t="s">
        <v>23</v>
      </c>
      <c r="D325" t="s">
        <v>64</v>
      </c>
      <c r="E325" s="1">
        <v>250</v>
      </c>
      <c r="F325" s="1">
        <v>500</v>
      </c>
      <c r="G325" s="1">
        <v>860</v>
      </c>
      <c r="H325" s="1">
        <f>Int_breweries[[#This Row],[PLANT_COST]]*Int_breweries[[#This Row],[QUANTITY]]</f>
        <v>215000</v>
      </c>
      <c r="I325" s="1">
        <v>430000</v>
      </c>
      <c r="J325" s="1">
        <v>215000</v>
      </c>
      <c r="K325" s="1" t="s">
        <v>28</v>
      </c>
      <c r="L325" t="s">
        <v>60</v>
      </c>
      <c r="M325" s="1" t="s">
        <v>48</v>
      </c>
      <c r="N325" s="1">
        <v>2017</v>
      </c>
      <c r="O325" t="str" cm="1">
        <f t="array" ref="O325">_xlfn.IFS(OR($K325="Ghana", $K325="Nigeria"), "Anglophone", OR($K325="Togo", $K325="Benin", $K325="Senegal"), "Francophone")</f>
        <v>Francophone</v>
      </c>
      <c r="P325" s="1" t="str">
        <f>LEFT(Int_breweries[[#This Row],[MONTHS]], 3)</f>
        <v>Dec</v>
      </c>
    </row>
    <row r="326" spans="1:16" ht="12.5" x14ac:dyDescent="0.25">
      <c r="A326" s="1">
        <v>10425</v>
      </c>
      <c r="B326" s="1" t="s">
        <v>26</v>
      </c>
      <c r="C326" s="1" t="s">
        <v>27</v>
      </c>
      <c r="D326" t="s">
        <v>65</v>
      </c>
      <c r="E326" s="1">
        <v>180</v>
      </c>
      <c r="F326" s="1">
        <v>450</v>
      </c>
      <c r="G326" s="1">
        <v>895</v>
      </c>
      <c r="H326" s="1">
        <f>Int_breweries[[#This Row],[PLANT_COST]]*Int_breweries[[#This Row],[QUANTITY]]</f>
        <v>161100</v>
      </c>
      <c r="I326" s="1">
        <v>402750</v>
      </c>
      <c r="J326" s="1">
        <v>241650</v>
      </c>
      <c r="K326" s="1" t="s">
        <v>32</v>
      </c>
      <c r="L326" t="s">
        <v>61</v>
      </c>
      <c r="M326" s="1" t="s">
        <v>16</v>
      </c>
      <c r="N326" s="1">
        <v>2017</v>
      </c>
      <c r="O326" t="str" cm="1">
        <f t="array" ref="O326">_xlfn.IFS(OR($K326="Ghana", $K326="Nigeria"), "Anglophone", OR($K326="Togo", $K326="Benin", $K326="Senegal"), "Francophone")</f>
        <v>Francophone</v>
      </c>
      <c r="P326" s="1" t="str">
        <f>LEFT(Int_breweries[[#This Row],[MONTHS]], 3)</f>
        <v>Jan</v>
      </c>
    </row>
    <row r="327" spans="1:16" ht="12.5" x14ac:dyDescent="0.25">
      <c r="A327" s="1">
        <v>10426</v>
      </c>
      <c r="B327" s="1" t="s">
        <v>30</v>
      </c>
      <c r="C327" s="1" t="s">
        <v>31</v>
      </c>
      <c r="D327" t="s">
        <v>66</v>
      </c>
      <c r="E327" s="1">
        <v>170</v>
      </c>
      <c r="F327" s="1">
        <v>250</v>
      </c>
      <c r="G327" s="1">
        <v>929</v>
      </c>
      <c r="H327" s="1">
        <f>Int_breweries[[#This Row],[PLANT_COST]]*Int_breweries[[#This Row],[QUANTITY]]</f>
        <v>157930</v>
      </c>
      <c r="I327" s="1">
        <v>232250</v>
      </c>
      <c r="J327" s="1">
        <v>74320</v>
      </c>
      <c r="K327" s="1" t="s">
        <v>14</v>
      </c>
      <c r="L327" t="s">
        <v>62</v>
      </c>
      <c r="M327" s="1" t="s">
        <v>21</v>
      </c>
      <c r="N327" s="1">
        <v>2019</v>
      </c>
      <c r="O327" t="str" cm="1">
        <f t="array" ref="O327">_xlfn.IFS(OR($K327="Ghana", $K327="Nigeria"), "Anglophone", OR($K327="Togo", $K327="Benin", $K327="Senegal"), "Francophone")</f>
        <v>Anglophone</v>
      </c>
      <c r="P327" s="1" t="str">
        <f>LEFT(Int_breweries[[#This Row],[MONTHS]], 3)</f>
        <v>Feb</v>
      </c>
    </row>
    <row r="328" spans="1:16" ht="12.5" x14ac:dyDescent="0.25">
      <c r="A328" s="1">
        <v>10427</v>
      </c>
      <c r="B328" s="1" t="s">
        <v>12</v>
      </c>
      <c r="C328" s="1" t="s">
        <v>13</v>
      </c>
      <c r="D328" t="s">
        <v>67</v>
      </c>
      <c r="E328" s="1">
        <v>150</v>
      </c>
      <c r="F328" s="1">
        <v>200</v>
      </c>
      <c r="G328" s="1">
        <v>759</v>
      </c>
      <c r="H328" s="1">
        <f>Int_breweries[[#This Row],[PLANT_COST]]*Int_breweries[[#This Row],[QUANTITY]]</f>
        <v>113850</v>
      </c>
      <c r="I328" s="1">
        <v>151800</v>
      </c>
      <c r="J328" s="1">
        <v>37950</v>
      </c>
      <c r="K328" s="1" t="s">
        <v>19</v>
      </c>
      <c r="L328" t="s">
        <v>15</v>
      </c>
      <c r="M328" s="1" t="s">
        <v>25</v>
      </c>
      <c r="N328" s="1">
        <v>2018</v>
      </c>
      <c r="O328" t="str" cm="1">
        <f t="array" ref="O328">_xlfn.IFS(OR($K328="Ghana", $K328="Nigeria"), "Anglophone", OR($K328="Togo", $K328="Benin", $K328="Senegal"), "Francophone")</f>
        <v>Anglophone</v>
      </c>
      <c r="P328" s="1" t="str">
        <f>LEFT(Int_breweries[[#This Row],[MONTHS]], 3)</f>
        <v>Mar</v>
      </c>
    </row>
    <row r="329" spans="1:16" ht="12.5" x14ac:dyDescent="0.25">
      <c r="A329" s="1">
        <v>10428</v>
      </c>
      <c r="B329" s="1" t="s">
        <v>35</v>
      </c>
      <c r="C329" s="1" t="s">
        <v>36</v>
      </c>
      <c r="D329" t="s">
        <v>68</v>
      </c>
      <c r="E329" s="1">
        <v>80</v>
      </c>
      <c r="F329" s="1">
        <v>150</v>
      </c>
      <c r="G329" s="1">
        <v>765</v>
      </c>
      <c r="H329" s="1">
        <f>Int_breweries[[#This Row],[PLANT_COST]]*Int_breweries[[#This Row],[QUANTITY]]</f>
        <v>61200</v>
      </c>
      <c r="I329" s="1">
        <v>114750</v>
      </c>
      <c r="J329" s="1">
        <v>53550</v>
      </c>
      <c r="K329" s="1" t="s">
        <v>24</v>
      </c>
      <c r="L329" t="s">
        <v>58</v>
      </c>
      <c r="M329" s="1" t="s">
        <v>29</v>
      </c>
      <c r="N329" s="1">
        <v>2017</v>
      </c>
      <c r="O329" t="str" cm="1">
        <f t="array" ref="O329">_xlfn.IFS(OR($K329="Ghana", $K329="Nigeria"), "Anglophone", OR($K329="Togo", $K329="Benin", $K329="Senegal"), "Francophone")</f>
        <v>Francophone</v>
      </c>
      <c r="P329" s="1" t="str">
        <f>LEFT(Int_breweries[[#This Row],[MONTHS]], 3)</f>
        <v>Apr</v>
      </c>
    </row>
    <row r="330" spans="1:16" ht="12.5" x14ac:dyDescent="0.25">
      <c r="A330" s="1">
        <v>10429</v>
      </c>
      <c r="B330" s="1" t="s">
        <v>26</v>
      </c>
      <c r="C330" s="1" t="s">
        <v>27</v>
      </c>
      <c r="D330" t="s">
        <v>69</v>
      </c>
      <c r="E330" s="1">
        <v>90</v>
      </c>
      <c r="F330" s="1">
        <v>150</v>
      </c>
      <c r="G330" s="1">
        <v>861</v>
      </c>
      <c r="H330" s="1">
        <f>Int_breweries[[#This Row],[PLANT_COST]]*Int_breweries[[#This Row],[QUANTITY]]</f>
        <v>77490</v>
      </c>
      <c r="I330" s="1">
        <v>129150</v>
      </c>
      <c r="J330" s="1">
        <v>51660</v>
      </c>
      <c r="K330" s="1" t="s">
        <v>28</v>
      </c>
      <c r="L330" t="s">
        <v>59</v>
      </c>
      <c r="M330" s="1" t="s">
        <v>33</v>
      </c>
      <c r="N330" s="1">
        <v>2019</v>
      </c>
      <c r="O330" t="str" cm="1">
        <f t="array" ref="O330">_xlfn.IFS(OR($K330="Ghana", $K330="Nigeria"), "Anglophone", OR($K330="Togo", $K330="Benin", $K330="Senegal"), "Francophone")</f>
        <v>Francophone</v>
      </c>
      <c r="P330" s="1" t="str">
        <f>LEFT(Int_breweries[[#This Row],[MONTHS]], 3)</f>
        <v>May</v>
      </c>
    </row>
    <row r="331" spans="1:16" ht="12.5" x14ac:dyDescent="0.25">
      <c r="A331" s="1">
        <v>10430</v>
      </c>
      <c r="B331" s="1" t="s">
        <v>39</v>
      </c>
      <c r="C331" s="1" t="s">
        <v>40</v>
      </c>
      <c r="D331" t="s">
        <v>63</v>
      </c>
      <c r="E331" s="1">
        <v>150</v>
      </c>
      <c r="F331" s="1">
        <v>200</v>
      </c>
      <c r="G331" s="1">
        <v>790</v>
      </c>
      <c r="H331" s="1">
        <f>Int_breweries[[#This Row],[PLANT_COST]]*Int_breweries[[#This Row],[QUANTITY]]</f>
        <v>118500</v>
      </c>
      <c r="I331" s="1">
        <v>158000</v>
      </c>
      <c r="J331" s="1">
        <v>39500</v>
      </c>
      <c r="K331" s="1" t="s">
        <v>32</v>
      </c>
      <c r="L331" t="s">
        <v>60</v>
      </c>
      <c r="M331" s="1" t="s">
        <v>34</v>
      </c>
      <c r="N331" s="1">
        <v>2018</v>
      </c>
      <c r="O331" t="str" cm="1">
        <f t="array" ref="O331">_xlfn.IFS(OR($K331="Ghana", $K331="Nigeria"), "Anglophone", OR($K331="Togo", $K331="Benin", $K331="Senegal"), "Francophone")</f>
        <v>Francophone</v>
      </c>
      <c r="P331" s="1" t="str">
        <f>LEFT(Int_breweries[[#This Row],[MONTHS]], 3)</f>
        <v>Jun</v>
      </c>
    </row>
    <row r="332" spans="1:16" ht="12.5" x14ac:dyDescent="0.25">
      <c r="A332" s="1">
        <v>10431</v>
      </c>
      <c r="B332" s="1" t="s">
        <v>42</v>
      </c>
      <c r="C332" s="1" t="s">
        <v>43</v>
      </c>
      <c r="D332" t="s">
        <v>64</v>
      </c>
      <c r="E332" s="1">
        <v>250</v>
      </c>
      <c r="F332" s="1">
        <v>500</v>
      </c>
      <c r="G332" s="1">
        <v>831</v>
      </c>
      <c r="H332" s="1">
        <f>Int_breweries[[#This Row],[PLANT_COST]]*Int_breweries[[#This Row],[QUANTITY]]</f>
        <v>207750</v>
      </c>
      <c r="I332" s="1">
        <v>415500</v>
      </c>
      <c r="J332" s="1">
        <v>207750</v>
      </c>
      <c r="K332" s="1" t="s">
        <v>14</v>
      </c>
      <c r="L332" t="s">
        <v>61</v>
      </c>
      <c r="M332" s="1" t="s">
        <v>37</v>
      </c>
      <c r="N332" s="1">
        <v>2017</v>
      </c>
      <c r="O332" t="str" cm="1">
        <f t="array" ref="O332">_xlfn.IFS(OR($K332="Ghana", $K332="Nigeria"), "Anglophone", OR($K332="Togo", $K332="Benin", $K332="Senegal"), "Francophone")</f>
        <v>Anglophone</v>
      </c>
      <c r="P332" s="1" t="str">
        <f>LEFT(Int_breweries[[#This Row],[MONTHS]], 3)</f>
        <v>Jul</v>
      </c>
    </row>
    <row r="333" spans="1:16" ht="12.5" x14ac:dyDescent="0.25">
      <c r="A333" s="1">
        <v>10432</v>
      </c>
      <c r="B333" s="1" t="s">
        <v>45</v>
      </c>
      <c r="C333" s="1" t="s">
        <v>46</v>
      </c>
      <c r="D333" t="s">
        <v>65</v>
      </c>
      <c r="E333" s="1">
        <v>180</v>
      </c>
      <c r="F333" s="1">
        <v>450</v>
      </c>
      <c r="G333" s="1">
        <v>879</v>
      </c>
      <c r="H333" s="1">
        <f>Int_breweries[[#This Row],[PLANT_COST]]*Int_breweries[[#This Row],[QUANTITY]]</f>
        <v>158220</v>
      </c>
      <c r="I333" s="1">
        <v>395550</v>
      </c>
      <c r="J333" s="1">
        <v>237330</v>
      </c>
      <c r="K333" s="1" t="s">
        <v>19</v>
      </c>
      <c r="L333" t="s">
        <v>62</v>
      </c>
      <c r="M333" s="1" t="s">
        <v>38</v>
      </c>
      <c r="N333" s="1">
        <v>2017</v>
      </c>
      <c r="O333" t="str" cm="1">
        <f t="array" ref="O333">_xlfn.IFS(OR($K333="Ghana", $K333="Nigeria"), "Anglophone", OR($K333="Togo", $K333="Benin", $K333="Senegal"), "Francophone")</f>
        <v>Anglophone</v>
      </c>
      <c r="P333" s="1" t="str">
        <f>LEFT(Int_breweries[[#This Row],[MONTHS]], 3)</f>
        <v>Aug</v>
      </c>
    </row>
    <row r="334" spans="1:16" ht="12.5" x14ac:dyDescent="0.25">
      <c r="A334" s="1">
        <v>10433</v>
      </c>
      <c r="B334" s="1" t="s">
        <v>26</v>
      </c>
      <c r="C334" s="1" t="s">
        <v>27</v>
      </c>
      <c r="D334" t="s">
        <v>66</v>
      </c>
      <c r="E334" s="1">
        <v>170</v>
      </c>
      <c r="F334" s="1">
        <v>250</v>
      </c>
      <c r="G334" s="1">
        <v>756</v>
      </c>
      <c r="H334" s="1">
        <f>Int_breweries[[#This Row],[PLANT_COST]]*Int_breweries[[#This Row],[QUANTITY]]</f>
        <v>128520</v>
      </c>
      <c r="I334" s="1">
        <v>189000</v>
      </c>
      <c r="J334" s="1">
        <v>60480</v>
      </c>
      <c r="K334" s="1" t="s">
        <v>24</v>
      </c>
      <c r="L334" t="s">
        <v>15</v>
      </c>
      <c r="M334" s="1" t="s">
        <v>41</v>
      </c>
      <c r="N334" s="1">
        <v>2017</v>
      </c>
      <c r="O334" t="str" cm="1">
        <f t="array" ref="O334">_xlfn.IFS(OR($K334="Ghana", $K334="Nigeria"), "Anglophone", OR($K334="Togo", $K334="Benin", $K334="Senegal"), "Francophone")</f>
        <v>Francophone</v>
      </c>
      <c r="P334" s="1" t="str">
        <f>LEFT(Int_breweries[[#This Row],[MONTHS]], 3)</f>
        <v>Sep</v>
      </c>
    </row>
    <row r="335" spans="1:16" ht="12.5" x14ac:dyDescent="0.25">
      <c r="A335" s="1">
        <v>10434</v>
      </c>
      <c r="B335" s="1" t="s">
        <v>49</v>
      </c>
      <c r="C335" s="1" t="s">
        <v>50</v>
      </c>
      <c r="D335" t="s">
        <v>67</v>
      </c>
      <c r="E335" s="1">
        <v>150</v>
      </c>
      <c r="F335" s="1">
        <v>200</v>
      </c>
      <c r="G335" s="1">
        <v>888</v>
      </c>
      <c r="H335" s="1">
        <f>Int_breweries[[#This Row],[PLANT_COST]]*Int_breweries[[#This Row],[QUANTITY]]</f>
        <v>133200</v>
      </c>
      <c r="I335" s="1">
        <v>177600</v>
      </c>
      <c r="J335" s="1">
        <v>44400</v>
      </c>
      <c r="K335" s="1" t="s">
        <v>28</v>
      </c>
      <c r="L335" t="s">
        <v>58</v>
      </c>
      <c r="M335" s="1" t="s">
        <v>44</v>
      </c>
      <c r="N335" s="1">
        <v>2017</v>
      </c>
      <c r="O335" t="str" cm="1">
        <f t="array" ref="O335">_xlfn.IFS(OR($K335="Ghana", $K335="Nigeria"), "Anglophone", OR($K335="Togo", $K335="Benin", $K335="Senegal"), "Francophone")</f>
        <v>Francophone</v>
      </c>
      <c r="P335" s="1" t="str">
        <f>LEFT(Int_breweries[[#This Row],[MONTHS]], 3)</f>
        <v>Oct</v>
      </c>
    </row>
    <row r="336" spans="1:16" ht="12.5" x14ac:dyDescent="0.25">
      <c r="A336" s="1">
        <v>10435</v>
      </c>
      <c r="B336" s="1" t="s">
        <v>26</v>
      </c>
      <c r="C336" s="1" t="s">
        <v>27</v>
      </c>
      <c r="D336" t="s">
        <v>68</v>
      </c>
      <c r="E336" s="1">
        <v>80</v>
      </c>
      <c r="F336" s="1">
        <v>150</v>
      </c>
      <c r="G336" s="1">
        <v>859</v>
      </c>
      <c r="H336" s="1">
        <f>Int_breweries[[#This Row],[PLANT_COST]]*Int_breweries[[#This Row],[QUANTITY]]</f>
        <v>68720</v>
      </c>
      <c r="I336" s="1">
        <v>128850</v>
      </c>
      <c r="J336" s="1">
        <v>60130</v>
      </c>
      <c r="K336" s="1" t="s">
        <v>32</v>
      </c>
      <c r="L336" t="s">
        <v>59</v>
      </c>
      <c r="M336" s="1" t="s">
        <v>47</v>
      </c>
      <c r="N336" s="1">
        <v>2017</v>
      </c>
      <c r="O336" t="str" cm="1">
        <f t="array" ref="O336">_xlfn.IFS(OR($K336="Ghana", $K336="Nigeria"), "Anglophone", OR($K336="Togo", $K336="Benin", $K336="Senegal"), "Francophone")</f>
        <v>Francophone</v>
      </c>
      <c r="P336" s="1" t="str">
        <f>LEFT(Int_breweries[[#This Row],[MONTHS]], 3)</f>
        <v>Nov</v>
      </c>
    </row>
    <row r="337" spans="1:16" ht="12.5" x14ac:dyDescent="0.25">
      <c r="A337" s="1">
        <v>10436</v>
      </c>
      <c r="B337" s="1" t="s">
        <v>39</v>
      </c>
      <c r="C337" s="1" t="s">
        <v>40</v>
      </c>
      <c r="D337" t="s">
        <v>69</v>
      </c>
      <c r="E337" s="1">
        <v>90</v>
      </c>
      <c r="F337" s="1">
        <v>150</v>
      </c>
      <c r="G337" s="1">
        <v>761</v>
      </c>
      <c r="H337" s="1">
        <f>Int_breweries[[#This Row],[PLANT_COST]]*Int_breweries[[#This Row],[QUANTITY]]</f>
        <v>68490</v>
      </c>
      <c r="I337" s="1">
        <v>114150</v>
      </c>
      <c r="J337" s="1">
        <v>45660</v>
      </c>
      <c r="K337" s="1" t="s">
        <v>14</v>
      </c>
      <c r="L337" t="s">
        <v>60</v>
      </c>
      <c r="M337" s="1" t="s">
        <v>48</v>
      </c>
      <c r="N337" s="1">
        <v>2018</v>
      </c>
      <c r="O337" t="str" cm="1">
        <f t="array" ref="O337">_xlfn.IFS(OR($K337="Ghana", $K337="Nigeria"), "Anglophone", OR($K337="Togo", $K337="Benin", $K337="Senegal"), "Francophone")</f>
        <v>Anglophone</v>
      </c>
      <c r="P337" s="1" t="str">
        <f>LEFT(Int_breweries[[#This Row],[MONTHS]], 3)</f>
        <v>Dec</v>
      </c>
    </row>
    <row r="338" spans="1:16" ht="12.5" x14ac:dyDescent="0.25">
      <c r="A338" s="1">
        <v>10437</v>
      </c>
      <c r="B338" s="1" t="s">
        <v>26</v>
      </c>
      <c r="C338" s="1" t="s">
        <v>27</v>
      </c>
      <c r="D338" t="s">
        <v>63</v>
      </c>
      <c r="E338" s="1">
        <v>150</v>
      </c>
      <c r="F338" s="1">
        <v>200</v>
      </c>
      <c r="G338" s="1">
        <v>989</v>
      </c>
      <c r="H338" s="1">
        <f>Int_breweries[[#This Row],[PLANT_COST]]*Int_breweries[[#This Row],[QUANTITY]]</f>
        <v>148350</v>
      </c>
      <c r="I338" s="1">
        <v>197800</v>
      </c>
      <c r="J338" s="1">
        <v>49450</v>
      </c>
      <c r="K338" s="1" t="s">
        <v>19</v>
      </c>
      <c r="L338" t="s">
        <v>61</v>
      </c>
      <c r="M338" s="1" t="s">
        <v>16</v>
      </c>
      <c r="N338" s="1">
        <v>2018</v>
      </c>
      <c r="O338" t="str" cm="1">
        <f t="array" ref="O338">_xlfn.IFS(OR($K338="Ghana", $K338="Nigeria"), "Anglophone", OR($K338="Togo", $K338="Benin", $K338="Senegal"), "Francophone")</f>
        <v>Anglophone</v>
      </c>
      <c r="P338" s="1" t="str">
        <f>LEFT(Int_breweries[[#This Row],[MONTHS]], 3)</f>
        <v>Jan</v>
      </c>
    </row>
    <row r="339" spans="1:16" ht="12.5" x14ac:dyDescent="0.25">
      <c r="A339" s="1">
        <v>10438</v>
      </c>
      <c r="B339" s="1" t="s">
        <v>45</v>
      </c>
      <c r="C339" s="1" t="s">
        <v>46</v>
      </c>
      <c r="D339" t="s">
        <v>64</v>
      </c>
      <c r="E339" s="1">
        <v>250</v>
      </c>
      <c r="F339" s="1">
        <v>500</v>
      </c>
      <c r="G339" s="1">
        <v>824</v>
      </c>
      <c r="H339" s="1">
        <f>Int_breweries[[#This Row],[PLANT_COST]]*Int_breweries[[#This Row],[QUANTITY]]</f>
        <v>206000</v>
      </c>
      <c r="I339" s="1">
        <v>412000</v>
      </c>
      <c r="J339" s="1">
        <v>206000</v>
      </c>
      <c r="K339" s="1" t="s">
        <v>24</v>
      </c>
      <c r="L339" t="s">
        <v>62</v>
      </c>
      <c r="M339" s="1" t="s">
        <v>21</v>
      </c>
      <c r="N339" s="1">
        <v>2018</v>
      </c>
      <c r="O339" t="str" cm="1">
        <f t="array" ref="O339">_xlfn.IFS(OR($K339="Ghana", $K339="Nigeria"), "Anglophone", OR($K339="Togo", $K339="Benin", $K339="Senegal"), "Francophone")</f>
        <v>Francophone</v>
      </c>
      <c r="P339" s="1" t="str">
        <f>LEFT(Int_breweries[[#This Row],[MONTHS]], 3)</f>
        <v>Feb</v>
      </c>
    </row>
    <row r="340" spans="1:16" ht="12.5" x14ac:dyDescent="0.25">
      <c r="A340" s="1">
        <v>10439</v>
      </c>
      <c r="B340" s="1" t="s">
        <v>51</v>
      </c>
      <c r="C340" s="1" t="s">
        <v>52</v>
      </c>
      <c r="D340" t="s">
        <v>65</v>
      </c>
      <c r="E340" s="1">
        <v>180</v>
      </c>
      <c r="F340" s="1">
        <v>450</v>
      </c>
      <c r="G340" s="1">
        <v>775</v>
      </c>
      <c r="H340" s="1">
        <f>Int_breweries[[#This Row],[PLANT_COST]]*Int_breweries[[#This Row],[QUANTITY]]</f>
        <v>139500</v>
      </c>
      <c r="I340" s="1">
        <v>348750</v>
      </c>
      <c r="J340" s="1">
        <v>209250</v>
      </c>
      <c r="K340" s="1" t="s">
        <v>28</v>
      </c>
      <c r="L340" t="s">
        <v>15</v>
      </c>
      <c r="M340" s="1" t="s">
        <v>25</v>
      </c>
      <c r="N340" s="1">
        <v>2018</v>
      </c>
      <c r="O340" t="str" cm="1">
        <f t="array" ref="O340">_xlfn.IFS(OR($K340="Ghana", $K340="Nigeria"), "Anglophone", OR($K340="Togo", $K340="Benin", $K340="Senegal"), "Francophone")</f>
        <v>Francophone</v>
      </c>
      <c r="P340" s="1" t="str">
        <f>LEFT(Int_breweries[[#This Row],[MONTHS]], 3)</f>
        <v>Mar</v>
      </c>
    </row>
    <row r="341" spans="1:16" ht="12.5" x14ac:dyDescent="0.25">
      <c r="A341" s="1">
        <v>10440</v>
      </c>
      <c r="B341" s="1" t="s">
        <v>49</v>
      </c>
      <c r="C341" s="1" t="s">
        <v>50</v>
      </c>
      <c r="D341" t="s">
        <v>66</v>
      </c>
      <c r="E341" s="1">
        <v>170</v>
      </c>
      <c r="F341" s="1">
        <v>250</v>
      </c>
      <c r="G341" s="1">
        <v>980</v>
      </c>
      <c r="H341" s="1">
        <f>Int_breweries[[#This Row],[PLANT_COST]]*Int_breweries[[#This Row],[QUANTITY]]</f>
        <v>166600</v>
      </c>
      <c r="I341" s="1">
        <v>245000</v>
      </c>
      <c r="J341" s="1">
        <v>78400</v>
      </c>
      <c r="K341" s="1" t="s">
        <v>32</v>
      </c>
      <c r="L341" t="s">
        <v>58</v>
      </c>
      <c r="M341" s="1" t="s">
        <v>29</v>
      </c>
      <c r="N341" s="1">
        <v>2017</v>
      </c>
      <c r="O341" t="str" cm="1">
        <f t="array" ref="O341">_xlfn.IFS(OR($K341="Ghana", $K341="Nigeria"), "Anglophone", OR($K341="Togo", $K341="Benin", $K341="Senegal"), "Francophone")</f>
        <v>Francophone</v>
      </c>
      <c r="P341" s="1" t="str">
        <f>LEFT(Int_breweries[[#This Row],[MONTHS]], 3)</f>
        <v>Apr</v>
      </c>
    </row>
    <row r="342" spans="1:16" ht="12.5" x14ac:dyDescent="0.25">
      <c r="A342" s="1">
        <v>10441</v>
      </c>
      <c r="B342" s="1" t="s">
        <v>45</v>
      </c>
      <c r="C342" s="1" t="s">
        <v>46</v>
      </c>
      <c r="D342" t="s">
        <v>67</v>
      </c>
      <c r="E342" s="1">
        <v>150</v>
      </c>
      <c r="F342" s="1">
        <v>200</v>
      </c>
      <c r="G342" s="1">
        <v>828</v>
      </c>
      <c r="H342" s="1">
        <f>Int_breweries[[#This Row],[PLANT_COST]]*Int_breweries[[#This Row],[QUANTITY]]</f>
        <v>124200</v>
      </c>
      <c r="I342" s="1">
        <v>165600</v>
      </c>
      <c r="J342" s="1">
        <v>41400</v>
      </c>
      <c r="K342" s="1" t="s">
        <v>14</v>
      </c>
      <c r="L342" t="s">
        <v>59</v>
      </c>
      <c r="M342" s="1" t="s">
        <v>33</v>
      </c>
      <c r="N342" s="1">
        <v>2019</v>
      </c>
      <c r="O342" t="str" cm="1">
        <f t="array" ref="O342">_xlfn.IFS(OR($K342="Ghana", $K342="Nigeria"), "Anglophone", OR($K342="Togo", $K342="Benin", $K342="Senegal"), "Francophone")</f>
        <v>Anglophone</v>
      </c>
      <c r="P342" s="1" t="str">
        <f>LEFT(Int_breweries[[#This Row],[MONTHS]], 3)</f>
        <v>May</v>
      </c>
    </row>
    <row r="343" spans="1:16" ht="12.5" x14ac:dyDescent="0.25">
      <c r="A343" s="1">
        <v>10442</v>
      </c>
      <c r="B343" s="1" t="s">
        <v>17</v>
      </c>
      <c r="C343" s="1" t="s">
        <v>18</v>
      </c>
      <c r="D343" t="s">
        <v>68</v>
      </c>
      <c r="E343" s="1">
        <v>80</v>
      </c>
      <c r="F343" s="1">
        <v>150</v>
      </c>
      <c r="G343" s="1">
        <v>711</v>
      </c>
      <c r="H343" s="1">
        <f>Int_breweries[[#This Row],[PLANT_COST]]*Int_breweries[[#This Row],[QUANTITY]]</f>
        <v>56880</v>
      </c>
      <c r="I343" s="1">
        <v>106650</v>
      </c>
      <c r="J343" s="1">
        <v>49770</v>
      </c>
      <c r="K343" s="1" t="s">
        <v>19</v>
      </c>
      <c r="L343" t="s">
        <v>60</v>
      </c>
      <c r="M343" s="1" t="s">
        <v>34</v>
      </c>
      <c r="N343" s="1">
        <v>2019</v>
      </c>
      <c r="O343" t="str" cm="1">
        <f t="array" ref="O343">_xlfn.IFS(OR($K343="Ghana", $K343="Nigeria"), "Anglophone", OR($K343="Togo", $K343="Benin", $K343="Senegal"), "Francophone")</f>
        <v>Anglophone</v>
      </c>
      <c r="P343" s="1" t="str">
        <f>LEFT(Int_breweries[[#This Row],[MONTHS]], 3)</f>
        <v>Jun</v>
      </c>
    </row>
    <row r="344" spans="1:16" ht="12.5" x14ac:dyDescent="0.25">
      <c r="A344" s="1">
        <v>10443</v>
      </c>
      <c r="B344" s="1" t="s">
        <v>49</v>
      </c>
      <c r="C344" s="1" t="s">
        <v>50</v>
      </c>
      <c r="D344" t="s">
        <v>69</v>
      </c>
      <c r="E344" s="1">
        <v>90</v>
      </c>
      <c r="F344" s="1">
        <v>150</v>
      </c>
      <c r="G344" s="1">
        <v>817</v>
      </c>
      <c r="H344" s="1">
        <f>Int_breweries[[#This Row],[PLANT_COST]]*Int_breweries[[#This Row],[QUANTITY]]</f>
        <v>73530</v>
      </c>
      <c r="I344" s="1">
        <v>122550</v>
      </c>
      <c r="J344" s="1">
        <v>49020</v>
      </c>
      <c r="K344" s="1" t="s">
        <v>24</v>
      </c>
      <c r="L344" t="s">
        <v>61</v>
      </c>
      <c r="M344" s="1" t="s">
        <v>37</v>
      </c>
      <c r="N344" s="1">
        <v>2018</v>
      </c>
      <c r="O344" t="str" cm="1">
        <f t="array" ref="O344">_xlfn.IFS(OR($K344="Ghana", $K344="Nigeria"), "Anglophone", OR($K344="Togo", $K344="Benin", $K344="Senegal"), "Francophone")</f>
        <v>Francophone</v>
      </c>
      <c r="P344" s="1" t="str">
        <f>LEFT(Int_breweries[[#This Row],[MONTHS]], 3)</f>
        <v>Jul</v>
      </c>
    </row>
    <row r="345" spans="1:16" ht="12.5" x14ac:dyDescent="0.25">
      <c r="A345" s="1">
        <v>10444</v>
      </c>
      <c r="B345" s="1" t="s">
        <v>26</v>
      </c>
      <c r="C345" s="1" t="s">
        <v>27</v>
      </c>
      <c r="D345" t="s">
        <v>63</v>
      </c>
      <c r="E345" s="1">
        <v>150</v>
      </c>
      <c r="F345" s="1">
        <v>200</v>
      </c>
      <c r="G345" s="1">
        <v>829</v>
      </c>
      <c r="H345" s="1">
        <f>Int_breweries[[#This Row],[PLANT_COST]]*Int_breweries[[#This Row],[QUANTITY]]</f>
        <v>124350</v>
      </c>
      <c r="I345" s="1">
        <v>165800</v>
      </c>
      <c r="J345" s="1">
        <v>41450</v>
      </c>
      <c r="K345" s="1" t="s">
        <v>28</v>
      </c>
      <c r="L345" t="s">
        <v>62</v>
      </c>
      <c r="M345" s="1" t="s">
        <v>38</v>
      </c>
      <c r="N345" s="1">
        <v>2018</v>
      </c>
      <c r="O345" t="str" cm="1">
        <f t="array" ref="O345">_xlfn.IFS(OR($K345="Ghana", $K345="Nigeria"), "Anglophone", OR($K345="Togo", $K345="Benin", $K345="Senegal"), "Francophone")</f>
        <v>Francophone</v>
      </c>
      <c r="P345" s="1" t="str">
        <f>LEFT(Int_breweries[[#This Row],[MONTHS]], 3)</f>
        <v>Aug</v>
      </c>
    </row>
    <row r="346" spans="1:16" ht="12.5" x14ac:dyDescent="0.25">
      <c r="A346" s="1">
        <v>10445</v>
      </c>
      <c r="B346" s="1" t="s">
        <v>22</v>
      </c>
      <c r="C346" s="1" t="s">
        <v>23</v>
      </c>
      <c r="D346" t="s">
        <v>64</v>
      </c>
      <c r="E346" s="1">
        <v>250</v>
      </c>
      <c r="F346" s="1">
        <v>500</v>
      </c>
      <c r="G346" s="1">
        <v>872</v>
      </c>
      <c r="H346" s="1">
        <f>Int_breweries[[#This Row],[PLANT_COST]]*Int_breweries[[#This Row],[QUANTITY]]</f>
        <v>218000</v>
      </c>
      <c r="I346" s="1">
        <v>436000</v>
      </c>
      <c r="J346" s="1">
        <v>218000</v>
      </c>
      <c r="K346" s="1" t="s">
        <v>32</v>
      </c>
      <c r="L346" t="s">
        <v>15</v>
      </c>
      <c r="M346" s="1" t="s">
        <v>41</v>
      </c>
      <c r="N346" s="1">
        <v>2018</v>
      </c>
      <c r="O346" t="str" cm="1">
        <f t="array" ref="O346">_xlfn.IFS(OR($K346="Ghana", $K346="Nigeria"), "Anglophone", OR($K346="Togo", $K346="Benin", $K346="Senegal"), "Francophone")</f>
        <v>Francophone</v>
      </c>
      <c r="P346" s="1" t="str">
        <f>LEFT(Int_breweries[[#This Row],[MONTHS]], 3)</f>
        <v>Sep</v>
      </c>
    </row>
    <row r="347" spans="1:16" ht="12.5" x14ac:dyDescent="0.25">
      <c r="A347" s="1">
        <v>10446</v>
      </c>
      <c r="B347" s="1" t="s">
        <v>12</v>
      </c>
      <c r="C347" s="1" t="s">
        <v>13</v>
      </c>
      <c r="D347" t="s">
        <v>65</v>
      </c>
      <c r="E347" s="1">
        <v>180</v>
      </c>
      <c r="F347" s="1">
        <v>450</v>
      </c>
      <c r="G347" s="1">
        <v>715</v>
      </c>
      <c r="H347" s="1">
        <f>Int_breweries[[#This Row],[PLANT_COST]]*Int_breweries[[#This Row],[QUANTITY]]</f>
        <v>128700</v>
      </c>
      <c r="I347" s="1">
        <v>321750</v>
      </c>
      <c r="J347" s="1">
        <v>193050</v>
      </c>
      <c r="K347" s="1" t="s">
        <v>14</v>
      </c>
      <c r="L347" t="s">
        <v>58</v>
      </c>
      <c r="M347" s="1" t="s">
        <v>44</v>
      </c>
      <c r="N347" s="1">
        <v>2018</v>
      </c>
      <c r="O347" t="str" cm="1">
        <f t="array" ref="O347">_xlfn.IFS(OR($K347="Ghana", $K347="Nigeria"), "Anglophone", OR($K347="Togo", $K347="Benin", $K347="Senegal"), "Francophone")</f>
        <v>Anglophone</v>
      </c>
      <c r="P347" s="1" t="str">
        <f>LEFT(Int_breweries[[#This Row],[MONTHS]], 3)</f>
        <v>Oct</v>
      </c>
    </row>
    <row r="348" spans="1:16" ht="12.5" x14ac:dyDescent="0.25">
      <c r="A348" s="1">
        <v>10447</v>
      </c>
      <c r="B348" s="1" t="s">
        <v>30</v>
      </c>
      <c r="C348" s="1" t="s">
        <v>31</v>
      </c>
      <c r="D348" t="s">
        <v>66</v>
      </c>
      <c r="E348" s="1">
        <v>170</v>
      </c>
      <c r="F348" s="1">
        <v>250</v>
      </c>
      <c r="G348" s="1">
        <v>939</v>
      </c>
      <c r="H348" s="1">
        <f>Int_breweries[[#This Row],[PLANT_COST]]*Int_breweries[[#This Row],[QUANTITY]]</f>
        <v>159630</v>
      </c>
      <c r="I348" s="1">
        <v>234750</v>
      </c>
      <c r="J348" s="1">
        <v>75120</v>
      </c>
      <c r="K348" s="1" t="s">
        <v>19</v>
      </c>
      <c r="L348" t="s">
        <v>59</v>
      </c>
      <c r="M348" s="1" t="s">
        <v>47</v>
      </c>
      <c r="N348" s="1">
        <v>2019</v>
      </c>
      <c r="O348" t="str" cm="1">
        <f t="array" ref="O348">_xlfn.IFS(OR($K348="Ghana", $K348="Nigeria"), "Anglophone", OR($K348="Togo", $K348="Benin", $K348="Senegal"), "Francophone")</f>
        <v>Anglophone</v>
      </c>
      <c r="P348" s="1" t="str">
        <f>LEFT(Int_breweries[[#This Row],[MONTHS]], 3)</f>
        <v>Nov</v>
      </c>
    </row>
    <row r="349" spans="1:16" ht="12.5" x14ac:dyDescent="0.25">
      <c r="A349" s="1">
        <v>10448</v>
      </c>
      <c r="B349" s="1" t="s">
        <v>42</v>
      </c>
      <c r="C349" s="1" t="s">
        <v>43</v>
      </c>
      <c r="D349" t="s">
        <v>67</v>
      </c>
      <c r="E349" s="1">
        <v>150</v>
      </c>
      <c r="F349" s="1">
        <v>200</v>
      </c>
      <c r="G349" s="1">
        <v>891</v>
      </c>
      <c r="H349" s="1">
        <f>Int_breweries[[#This Row],[PLANT_COST]]*Int_breweries[[#This Row],[QUANTITY]]</f>
        <v>133650</v>
      </c>
      <c r="I349" s="1">
        <v>178200</v>
      </c>
      <c r="J349" s="1">
        <v>44550</v>
      </c>
      <c r="K349" s="1" t="s">
        <v>24</v>
      </c>
      <c r="L349" t="s">
        <v>60</v>
      </c>
      <c r="M349" s="1" t="s">
        <v>48</v>
      </c>
      <c r="N349" s="1">
        <v>2017</v>
      </c>
      <c r="O349" t="str" cm="1">
        <f t="array" ref="O349">_xlfn.IFS(OR($K349="Ghana", $K349="Nigeria"), "Anglophone", OR($K349="Togo", $K349="Benin", $K349="Senegal"), "Francophone")</f>
        <v>Francophone</v>
      </c>
      <c r="P349" s="1" t="str">
        <f>LEFT(Int_breweries[[#This Row],[MONTHS]], 3)</f>
        <v>Dec</v>
      </c>
    </row>
    <row r="350" spans="1:16" ht="12.5" x14ac:dyDescent="0.25">
      <c r="A350" s="1">
        <v>10449</v>
      </c>
      <c r="B350" s="1" t="s">
        <v>17</v>
      </c>
      <c r="C350" s="1" t="s">
        <v>18</v>
      </c>
      <c r="D350" t="s">
        <v>68</v>
      </c>
      <c r="E350" s="1">
        <v>80</v>
      </c>
      <c r="F350" s="1">
        <v>150</v>
      </c>
      <c r="G350" s="1">
        <v>736</v>
      </c>
      <c r="H350" s="1">
        <f>Int_breweries[[#This Row],[PLANT_COST]]*Int_breweries[[#This Row],[QUANTITY]]</f>
        <v>58880</v>
      </c>
      <c r="I350" s="1">
        <v>110400</v>
      </c>
      <c r="J350" s="1">
        <v>51520</v>
      </c>
      <c r="K350" s="1" t="s">
        <v>28</v>
      </c>
      <c r="L350" t="s">
        <v>61</v>
      </c>
      <c r="M350" s="1" t="s">
        <v>16</v>
      </c>
      <c r="N350" s="1">
        <v>2018</v>
      </c>
      <c r="O350" t="str" cm="1">
        <f t="array" ref="O350">_xlfn.IFS(OR($K350="Ghana", $K350="Nigeria"), "Anglophone", OR($K350="Togo", $K350="Benin", $K350="Senegal"), "Francophone")</f>
        <v>Francophone</v>
      </c>
      <c r="P350" s="1" t="str">
        <f>LEFT(Int_breweries[[#This Row],[MONTHS]], 3)</f>
        <v>Jan</v>
      </c>
    </row>
    <row r="351" spans="1:16" ht="12.5" x14ac:dyDescent="0.25">
      <c r="A351" s="1">
        <v>10450</v>
      </c>
      <c r="B351" s="1" t="s">
        <v>17</v>
      </c>
      <c r="C351" s="1" t="s">
        <v>18</v>
      </c>
      <c r="D351" t="s">
        <v>69</v>
      </c>
      <c r="E351" s="1">
        <v>90</v>
      </c>
      <c r="F351" s="1">
        <v>150</v>
      </c>
      <c r="G351" s="1">
        <v>797</v>
      </c>
      <c r="H351" s="1">
        <f>Int_breweries[[#This Row],[PLANT_COST]]*Int_breweries[[#This Row],[QUANTITY]]</f>
        <v>71730</v>
      </c>
      <c r="I351" s="1">
        <v>119550</v>
      </c>
      <c r="J351" s="1">
        <v>47820</v>
      </c>
      <c r="K351" s="1" t="s">
        <v>32</v>
      </c>
      <c r="L351" t="s">
        <v>62</v>
      </c>
      <c r="M351" s="1" t="s">
        <v>21</v>
      </c>
      <c r="N351" s="1">
        <v>2017</v>
      </c>
      <c r="O351" t="str" cm="1">
        <f t="array" ref="O351">_xlfn.IFS(OR($K351="Ghana", $K351="Nigeria"), "Anglophone", OR($K351="Togo", $K351="Benin", $K351="Senegal"), "Francophone")</f>
        <v>Francophone</v>
      </c>
      <c r="P351" s="1" t="str">
        <f>LEFT(Int_breweries[[#This Row],[MONTHS]], 3)</f>
        <v>Feb</v>
      </c>
    </row>
    <row r="352" spans="1:16" ht="12.5" x14ac:dyDescent="0.25">
      <c r="A352" s="1">
        <v>10451</v>
      </c>
      <c r="B352" s="1" t="s">
        <v>51</v>
      </c>
      <c r="C352" s="1" t="s">
        <v>52</v>
      </c>
      <c r="D352" t="s">
        <v>63</v>
      </c>
      <c r="E352" s="1">
        <v>150</v>
      </c>
      <c r="F352" s="1">
        <v>200</v>
      </c>
      <c r="G352" s="1">
        <v>913</v>
      </c>
      <c r="H352" s="1">
        <f>Int_breweries[[#This Row],[PLANT_COST]]*Int_breweries[[#This Row],[QUANTITY]]</f>
        <v>136950</v>
      </c>
      <c r="I352" s="1">
        <v>182600</v>
      </c>
      <c r="J352" s="1">
        <v>45650</v>
      </c>
      <c r="K352" s="1" t="s">
        <v>14</v>
      </c>
      <c r="L352" t="s">
        <v>15</v>
      </c>
      <c r="M352" s="1" t="s">
        <v>25</v>
      </c>
      <c r="N352" s="1">
        <v>2017</v>
      </c>
      <c r="O352" t="str" cm="1">
        <f t="array" ref="O352">_xlfn.IFS(OR($K352="Ghana", $K352="Nigeria"), "Anglophone", OR($K352="Togo", $K352="Benin", $K352="Senegal"), "Francophone")</f>
        <v>Anglophone</v>
      </c>
      <c r="P352" s="1" t="str">
        <f>LEFT(Int_breweries[[#This Row],[MONTHS]], 3)</f>
        <v>Mar</v>
      </c>
    </row>
    <row r="353" spans="1:16" ht="12.5" x14ac:dyDescent="0.25">
      <c r="A353" s="1">
        <v>10452</v>
      </c>
      <c r="B353" s="1" t="s">
        <v>26</v>
      </c>
      <c r="C353" s="1" t="s">
        <v>27</v>
      </c>
      <c r="D353" t="s">
        <v>64</v>
      </c>
      <c r="E353" s="1">
        <v>250</v>
      </c>
      <c r="F353" s="1">
        <v>500</v>
      </c>
      <c r="G353" s="1">
        <v>710</v>
      </c>
      <c r="H353" s="1">
        <f>Int_breweries[[#This Row],[PLANT_COST]]*Int_breweries[[#This Row],[QUANTITY]]</f>
        <v>177500</v>
      </c>
      <c r="I353" s="1">
        <v>355000</v>
      </c>
      <c r="J353" s="1">
        <v>177500</v>
      </c>
      <c r="K353" s="1" t="s">
        <v>19</v>
      </c>
      <c r="L353" t="s">
        <v>58</v>
      </c>
      <c r="M353" s="1" t="s">
        <v>29</v>
      </c>
      <c r="N353" s="1">
        <v>2017</v>
      </c>
      <c r="O353" t="str" cm="1">
        <f t="array" ref="O353">_xlfn.IFS(OR($K353="Ghana", $K353="Nigeria"), "Anglophone", OR($K353="Togo", $K353="Benin", $K353="Senegal"), "Francophone")</f>
        <v>Anglophone</v>
      </c>
      <c r="P353" s="1" t="str">
        <f>LEFT(Int_breweries[[#This Row],[MONTHS]], 3)</f>
        <v>Apr</v>
      </c>
    </row>
    <row r="354" spans="1:16" ht="12.5" x14ac:dyDescent="0.25">
      <c r="A354" s="1">
        <v>10453</v>
      </c>
      <c r="B354" s="1" t="s">
        <v>39</v>
      </c>
      <c r="C354" s="1" t="s">
        <v>40</v>
      </c>
      <c r="D354" t="s">
        <v>65</v>
      </c>
      <c r="E354" s="1">
        <v>180</v>
      </c>
      <c r="F354" s="1">
        <v>450</v>
      </c>
      <c r="G354" s="1">
        <v>832</v>
      </c>
      <c r="H354" s="1">
        <f>Int_breweries[[#This Row],[PLANT_COST]]*Int_breweries[[#This Row],[QUANTITY]]</f>
        <v>149760</v>
      </c>
      <c r="I354" s="1">
        <v>374400</v>
      </c>
      <c r="J354" s="1">
        <v>224640</v>
      </c>
      <c r="K354" s="1" t="s">
        <v>24</v>
      </c>
      <c r="L354" t="s">
        <v>59</v>
      </c>
      <c r="M354" s="1" t="s">
        <v>33</v>
      </c>
      <c r="N354" s="1">
        <v>2019</v>
      </c>
      <c r="O354" t="str" cm="1">
        <f t="array" ref="O354">_xlfn.IFS(OR($K354="Ghana", $K354="Nigeria"), "Anglophone", OR($K354="Togo", $K354="Benin", $K354="Senegal"), "Francophone")</f>
        <v>Francophone</v>
      </c>
      <c r="P354" s="1" t="str">
        <f>LEFT(Int_breweries[[#This Row],[MONTHS]], 3)</f>
        <v>May</v>
      </c>
    </row>
    <row r="355" spans="1:16" ht="12.5" x14ac:dyDescent="0.25">
      <c r="A355" s="1">
        <v>10454</v>
      </c>
      <c r="B355" s="1" t="s">
        <v>51</v>
      </c>
      <c r="C355" s="1" t="s">
        <v>52</v>
      </c>
      <c r="D355" t="s">
        <v>66</v>
      </c>
      <c r="E355" s="1">
        <v>170</v>
      </c>
      <c r="F355" s="1">
        <v>250</v>
      </c>
      <c r="G355" s="1">
        <v>952</v>
      </c>
      <c r="H355" s="1">
        <f>Int_breweries[[#This Row],[PLANT_COST]]*Int_breweries[[#This Row],[QUANTITY]]</f>
        <v>161840</v>
      </c>
      <c r="I355" s="1">
        <v>238000</v>
      </c>
      <c r="J355" s="1">
        <v>76160</v>
      </c>
      <c r="K355" s="1" t="s">
        <v>28</v>
      </c>
      <c r="L355" t="s">
        <v>60</v>
      </c>
      <c r="M355" s="1" t="s">
        <v>34</v>
      </c>
      <c r="N355" s="1">
        <v>2019</v>
      </c>
      <c r="O355" t="str" cm="1">
        <f t="array" ref="O355">_xlfn.IFS(OR($K355="Ghana", $K355="Nigeria"), "Anglophone", OR($K355="Togo", $K355="Benin", $K355="Senegal"), "Francophone")</f>
        <v>Francophone</v>
      </c>
      <c r="P355" s="1" t="str">
        <f>LEFT(Int_breweries[[#This Row],[MONTHS]], 3)</f>
        <v>Jun</v>
      </c>
    </row>
    <row r="356" spans="1:16" ht="12.5" x14ac:dyDescent="0.25">
      <c r="A356" s="1">
        <v>10455</v>
      </c>
      <c r="B356" s="1" t="s">
        <v>22</v>
      </c>
      <c r="C356" s="1" t="s">
        <v>23</v>
      </c>
      <c r="D356" t="s">
        <v>67</v>
      </c>
      <c r="E356" s="1">
        <v>150</v>
      </c>
      <c r="F356" s="1">
        <v>200</v>
      </c>
      <c r="G356" s="1">
        <v>967</v>
      </c>
      <c r="H356" s="1">
        <f>Int_breweries[[#This Row],[PLANT_COST]]*Int_breweries[[#This Row],[QUANTITY]]</f>
        <v>145050</v>
      </c>
      <c r="I356" s="1">
        <v>193400</v>
      </c>
      <c r="J356" s="1">
        <v>48350</v>
      </c>
      <c r="K356" s="1" t="s">
        <v>32</v>
      </c>
      <c r="L356" t="s">
        <v>61</v>
      </c>
      <c r="M356" s="1" t="s">
        <v>37</v>
      </c>
      <c r="N356" s="1">
        <v>2017</v>
      </c>
      <c r="O356" t="str" cm="1">
        <f t="array" ref="O356">_xlfn.IFS(OR($K356="Ghana", $K356="Nigeria"), "Anglophone", OR($K356="Togo", $K356="Benin", $K356="Senegal"), "Francophone")</f>
        <v>Francophone</v>
      </c>
      <c r="P356" s="1" t="str">
        <f>LEFT(Int_breweries[[#This Row],[MONTHS]], 3)</f>
        <v>Jul</v>
      </c>
    </row>
    <row r="357" spans="1:16" ht="12.5" x14ac:dyDescent="0.25">
      <c r="A357" s="1">
        <v>10456</v>
      </c>
      <c r="B357" s="1" t="s">
        <v>17</v>
      </c>
      <c r="C357" s="1" t="s">
        <v>18</v>
      </c>
      <c r="D357" t="s">
        <v>68</v>
      </c>
      <c r="E357" s="1">
        <v>80</v>
      </c>
      <c r="F357" s="1">
        <v>150</v>
      </c>
      <c r="G357" s="1">
        <v>879</v>
      </c>
      <c r="H357" s="1">
        <f>Int_breweries[[#This Row],[PLANT_COST]]*Int_breweries[[#This Row],[QUANTITY]]</f>
        <v>70320</v>
      </c>
      <c r="I357" s="1">
        <v>131850</v>
      </c>
      <c r="J357" s="1">
        <v>61530</v>
      </c>
      <c r="K357" s="1" t="s">
        <v>14</v>
      </c>
      <c r="L357" t="s">
        <v>62</v>
      </c>
      <c r="M357" s="1" t="s">
        <v>38</v>
      </c>
      <c r="N357" s="1">
        <v>2018</v>
      </c>
      <c r="O357" t="str" cm="1">
        <f t="array" ref="O357">_xlfn.IFS(OR($K357="Ghana", $K357="Nigeria"), "Anglophone", OR($K357="Togo", $K357="Benin", $K357="Senegal"), "Francophone")</f>
        <v>Anglophone</v>
      </c>
      <c r="P357" s="1" t="str">
        <f>LEFT(Int_breweries[[#This Row],[MONTHS]], 3)</f>
        <v>Aug</v>
      </c>
    </row>
    <row r="358" spans="1:16" ht="12.5" x14ac:dyDescent="0.25">
      <c r="A358" s="1">
        <v>10457</v>
      </c>
      <c r="B358" s="1" t="s">
        <v>22</v>
      </c>
      <c r="C358" s="1" t="s">
        <v>23</v>
      </c>
      <c r="D358" t="s">
        <v>69</v>
      </c>
      <c r="E358" s="1">
        <v>90</v>
      </c>
      <c r="F358" s="1">
        <v>150</v>
      </c>
      <c r="G358" s="1">
        <v>705</v>
      </c>
      <c r="H358" s="1">
        <f>Int_breweries[[#This Row],[PLANT_COST]]*Int_breweries[[#This Row],[QUANTITY]]</f>
        <v>63450</v>
      </c>
      <c r="I358" s="1">
        <v>105750</v>
      </c>
      <c r="J358" s="1">
        <v>42300</v>
      </c>
      <c r="K358" s="1" t="s">
        <v>19</v>
      </c>
      <c r="L358" t="s">
        <v>15</v>
      </c>
      <c r="M358" s="1" t="s">
        <v>41</v>
      </c>
      <c r="N358" s="1">
        <v>2018</v>
      </c>
      <c r="O358" t="str" cm="1">
        <f t="array" ref="O358">_xlfn.IFS(OR($K358="Ghana", $K358="Nigeria"), "Anglophone", OR($K358="Togo", $K358="Benin", $K358="Senegal"), "Francophone")</f>
        <v>Anglophone</v>
      </c>
      <c r="P358" s="1" t="str">
        <f>LEFT(Int_breweries[[#This Row],[MONTHS]], 3)</f>
        <v>Sep</v>
      </c>
    </row>
    <row r="359" spans="1:16" ht="12.5" x14ac:dyDescent="0.25">
      <c r="A359" s="1">
        <v>10458</v>
      </c>
      <c r="B359" s="1" t="s">
        <v>35</v>
      </c>
      <c r="C359" s="1" t="s">
        <v>36</v>
      </c>
      <c r="D359" t="s">
        <v>63</v>
      </c>
      <c r="E359" s="1">
        <v>150</v>
      </c>
      <c r="F359" s="1">
        <v>200</v>
      </c>
      <c r="G359" s="1">
        <v>878</v>
      </c>
      <c r="H359" s="1">
        <f>Int_breweries[[#This Row],[PLANT_COST]]*Int_breweries[[#This Row],[QUANTITY]]</f>
        <v>131700</v>
      </c>
      <c r="I359" s="1">
        <v>175600</v>
      </c>
      <c r="J359" s="1">
        <v>43900</v>
      </c>
      <c r="K359" s="1" t="s">
        <v>24</v>
      </c>
      <c r="L359" t="s">
        <v>58</v>
      </c>
      <c r="M359" s="1" t="s">
        <v>44</v>
      </c>
      <c r="N359" s="1">
        <v>2018</v>
      </c>
      <c r="O359" t="str" cm="1">
        <f t="array" ref="O359">_xlfn.IFS(OR($K359="Ghana", $K359="Nigeria"), "Anglophone", OR($K359="Togo", $K359="Benin", $K359="Senegal"), "Francophone")</f>
        <v>Francophone</v>
      </c>
      <c r="P359" s="1" t="str">
        <f>LEFT(Int_breweries[[#This Row],[MONTHS]], 3)</f>
        <v>Oct</v>
      </c>
    </row>
    <row r="360" spans="1:16" ht="12.5" x14ac:dyDescent="0.25">
      <c r="A360" s="1">
        <v>10459</v>
      </c>
      <c r="B360" s="1" t="s">
        <v>30</v>
      </c>
      <c r="C360" s="1" t="s">
        <v>31</v>
      </c>
      <c r="D360" t="s">
        <v>64</v>
      </c>
      <c r="E360" s="1">
        <v>250</v>
      </c>
      <c r="F360" s="1">
        <v>500</v>
      </c>
      <c r="G360" s="1">
        <v>903</v>
      </c>
      <c r="H360" s="1">
        <f>Int_breweries[[#This Row],[PLANT_COST]]*Int_breweries[[#This Row],[QUANTITY]]</f>
        <v>225750</v>
      </c>
      <c r="I360" s="1">
        <v>451500</v>
      </c>
      <c r="J360" s="1">
        <v>225750</v>
      </c>
      <c r="K360" s="1" t="s">
        <v>28</v>
      </c>
      <c r="L360" t="s">
        <v>59</v>
      </c>
      <c r="M360" s="1" t="s">
        <v>47</v>
      </c>
      <c r="N360" s="1">
        <v>2018</v>
      </c>
      <c r="O360" t="str" cm="1">
        <f t="array" ref="O360">_xlfn.IFS(OR($K360="Ghana", $K360="Nigeria"), "Anglophone", OR($K360="Togo", $K360="Benin", $K360="Senegal"), "Francophone")</f>
        <v>Francophone</v>
      </c>
      <c r="P360" s="1" t="str">
        <f>LEFT(Int_breweries[[#This Row],[MONTHS]], 3)</f>
        <v>Nov</v>
      </c>
    </row>
    <row r="361" spans="1:16" ht="12.5" x14ac:dyDescent="0.25">
      <c r="A361" s="1">
        <v>10460</v>
      </c>
      <c r="B361" s="1" t="s">
        <v>12</v>
      </c>
      <c r="C361" s="1" t="s">
        <v>13</v>
      </c>
      <c r="D361" t="s">
        <v>65</v>
      </c>
      <c r="E361" s="1">
        <v>180</v>
      </c>
      <c r="F361" s="1">
        <v>450</v>
      </c>
      <c r="G361" s="1">
        <v>791</v>
      </c>
      <c r="H361" s="1">
        <f>Int_breweries[[#This Row],[PLANT_COST]]*Int_breweries[[#This Row],[QUANTITY]]</f>
        <v>142380</v>
      </c>
      <c r="I361" s="1">
        <v>355950</v>
      </c>
      <c r="J361" s="1">
        <v>213570</v>
      </c>
      <c r="K361" s="1" t="s">
        <v>32</v>
      </c>
      <c r="L361" t="s">
        <v>60</v>
      </c>
      <c r="M361" s="1" t="s">
        <v>48</v>
      </c>
      <c r="N361" s="1">
        <v>2018</v>
      </c>
      <c r="O361" t="str" cm="1">
        <f t="array" ref="O361">_xlfn.IFS(OR($K361="Ghana", $K361="Nigeria"), "Anglophone", OR($K361="Togo", $K361="Benin", $K361="Senegal"), "Francophone")</f>
        <v>Francophone</v>
      </c>
      <c r="P361" s="1" t="str">
        <f>LEFT(Int_breweries[[#This Row],[MONTHS]], 3)</f>
        <v>Dec</v>
      </c>
    </row>
    <row r="362" spans="1:16" ht="12.5" x14ac:dyDescent="0.25">
      <c r="A362" s="1">
        <v>10461</v>
      </c>
      <c r="B362" s="1" t="s">
        <v>12</v>
      </c>
      <c r="C362" s="1" t="s">
        <v>13</v>
      </c>
      <c r="D362" t="s">
        <v>66</v>
      </c>
      <c r="E362" s="1">
        <v>170</v>
      </c>
      <c r="F362" s="1">
        <v>250</v>
      </c>
      <c r="G362" s="1">
        <v>895</v>
      </c>
      <c r="H362" s="1">
        <f>Int_breweries[[#This Row],[PLANT_COST]]*Int_breweries[[#This Row],[QUANTITY]]</f>
        <v>152150</v>
      </c>
      <c r="I362" s="1">
        <v>223750</v>
      </c>
      <c r="J362" s="1">
        <v>71600</v>
      </c>
      <c r="K362" s="1" t="s">
        <v>14</v>
      </c>
      <c r="L362" t="s">
        <v>61</v>
      </c>
      <c r="M362" s="1" t="s">
        <v>16</v>
      </c>
      <c r="N362" s="1">
        <v>2018</v>
      </c>
      <c r="O362" t="str" cm="1">
        <f t="array" ref="O362">_xlfn.IFS(OR($K362="Ghana", $K362="Nigeria"), "Anglophone", OR($K362="Togo", $K362="Benin", $K362="Senegal"), "Francophone")</f>
        <v>Anglophone</v>
      </c>
      <c r="P362" s="1" t="str">
        <f>LEFT(Int_breweries[[#This Row],[MONTHS]], 3)</f>
        <v>Jan</v>
      </c>
    </row>
    <row r="363" spans="1:16" ht="12.5" x14ac:dyDescent="0.25">
      <c r="A363" s="1">
        <v>10462</v>
      </c>
      <c r="B363" s="1" t="s">
        <v>30</v>
      </c>
      <c r="C363" s="1" t="s">
        <v>31</v>
      </c>
      <c r="D363" t="s">
        <v>67</v>
      </c>
      <c r="E363" s="1">
        <v>150</v>
      </c>
      <c r="F363" s="1">
        <v>200</v>
      </c>
      <c r="G363" s="1">
        <v>759</v>
      </c>
      <c r="H363" s="1">
        <f>Int_breweries[[#This Row],[PLANT_COST]]*Int_breweries[[#This Row],[QUANTITY]]</f>
        <v>113850</v>
      </c>
      <c r="I363" s="1">
        <v>151800</v>
      </c>
      <c r="J363" s="1">
        <v>37950</v>
      </c>
      <c r="K363" s="1" t="s">
        <v>19</v>
      </c>
      <c r="L363" t="s">
        <v>62</v>
      </c>
      <c r="M363" s="1" t="s">
        <v>21</v>
      </c>
      <c r="N363" s="1">
        <v>2018</v>
      </c>
      <c r="O363" t="str" cm="1">
        <f t="array" ref="O363">_xlfn.IFS(OR($K363="Ghana", $K363="Nigeria"), "Anglophone", OR($K363="Togo", $K363="Benin", $K363="Senegal"), "Francophone")</f>
        <v>Anglophone</v>
      </c>
      <c r="P363" s="1" t="str">
        <f>LEFT(Int_breweries[[#This Row],[MONTHS]], 3)</f>
        <v>Feb</v>
      </c>
    </row>
    <row r="364" spans="1:16" ht="12.5" x14ac:dyDescent="0.25">
      <c r="A364" s="1">
        <v>10463</v>
      </c>
      <c r="B364" s="1" t="s">
        <v>12</v>
      </c>
      <c r="C364" s="1" t="s">
        <v>13</v>
      </c>
      <c r="D364" t="s">
        <v>68</v>
      </c>
      <c r="E364" s="1">
        <v>80</v>
      </c>
      <c r="F364" s="1">
        <v>150</v>
      </c>
      <c r="G364" s="1">
        <v>790</v>
      </c>
      <c r="H364" s="1">
        <f>Int_breweries[[#This Row],[PLANT_COST]]*Int_breweries[[#This Row],[QUANTITY]]</f>
        <v>63200</v>
      </c>
      <c r="I364" s="1">
        <v>118500</v>
      </c>
      <c r="J364" s="1">
        <v>55300</v>
      </c>
      <c r="K364" s="1" t="s">
        <v>24</v>
      </c>
      <c r="L364" t="s">
        <v>15</v>
      </c>
      <c r="M364" s="1" t="s">
        <v>25</v>
      </c>
      <c r="N364" s="1">
        <v>2017</v>
      </c>
      <c r="O364" t="str" cm="1">
        <f t="array" ref="O364">_xlfn.IFS(OR($K364="Ghana", $K364="Nigeria"), "Anglophone", OR($K364="Togo", $K364="Benin", $K364="Senegal"), "Francophone")</f>
        <v>Francophone</v>
      </c>
      <c r="P364" s="1" t="str">
        <f>LEFT(Int_breweries[[#This Row],[MONTHS]], 3)</f>
        <v>Mar</v>
      </c>
    </row>
    <row r="365" spans="1:16" ht="12.5" x14ac:dyDescent="0.25">
      <c r="A365" s="1">
        <v>10464</v>
      </c>
      <c r="B365" s="1" t="s">
        <v>17</v>
      </c>
      <c r="C365" s="1" t="s">
        <v>18</v>
      </c>
      <c r="D365" t="s">
        <v>69</v>
      </c>
      <c r="E365" s="1">
        <v>90</v>
      </c>
      <c r="F365" s="1">
        <v>150</v>
      </c>
      <c r="G365" s="1">
        <v>722</v>
      </c>
      <c r="H365" s="1">
        <f>Int_breweries[[#This Row],[PLANT_COST]]*Int_breweries[[#This Row],[QUANTITY]]</f>
        <v>64980</v>
      </c>
      <c r="I365" s="1">
        <v>108300</v>
      </c>
      <c r="J365" s="1">
        <v>43320</v>
      </c>
      <c r="K365" s="1" t="s">
        <v>28</v>
      </c>
      <c r="L365" t="s">
        <v>58</v>
      </c>
      <c r="M365" s="1" t="s">
        <v>29</v>
      </c>
      <c r="N365" s="1">
        <v>2017</v>
      </c>
      <c r="O365" t="str" cm="1">
        <f t="array" ref="O365">_xlfn.IFS(OR($K365="Ghana", $K365="Nigeria"), "Anglophone", OR($K365="Togo", $K365="Benin", $K365="Senegal"), "Francophone")</f>
        <v>Francophone</v>
      </c>
      <c r="P365" s="1" t="str">
        <f>LEFT(Int_breweries[[#This Row],[MONTHS]], 3)</f>
        <v>Apr</v>
      </c>
    </row>
    <row r="366" spans="1:16" ht="12.5" x14ac:dyDescent="0.25">
      <c r="A366" s="1">
        <v>10465</v>
      </c>
      <c r="B366" s="1" t="s">
        <v>22</v>
      </c>
      <c r="C366" s="1" t="s">
        <v>23</v>
      </c>
      <c r="D366" t="s">
        <v>63</v>
      </c>
      <c r="E366" s="1">
        <v>150</v>
      </c>
      <c r="F366" s="1">
        <v>200</v>
      </c>
      <c r="G366" s="1">
        <v>888</v>
      </c>
      <c r="H366" s="1">
        <f>Int_breweries[[#This Row],[PLANT_COST]]*Int_breweries[[#This Row],[QUANTITY]]</f>
        <v>133200</v>
      </c>
      <c r="I366" s="1">
        <v>177600</v>
      </c>
      <c r="J366" s="1">
        <v>44400</v>
      </c>
      <c r="K366" s="1" t="s">
        <v>32</v>
      </c>
      <c r="L366" t="s">
        <v>59</v>
      </c>
      <c r="M366" s="1" t="s">
        <v>33</v>
      </c>
      <c r="N366" s="1">
        <v>2019</v>
      </c>
      <c r="O366" t="str" cm="1">
        <f t="array" ref="O366">_xlfn.IFS(OR($K366="Ghana", $K366="Nigeria"), "Anglophone", OR($K366="Togo", $K366="Benin", $K366="Senegal"), "Francophone")</f>
        <v>Francophone</v>
      </c>
      <c r="P366" s="1" t="str">
        <f>LEFT(Int_breweries[[#This Row],[MONTHS]], 3)</f>
        <v>May</v>
      </c>
    </row>
    <row r="367" spans="1:16" ht="12.5" x14ac:dyDescent="0.25">
      <c r="A367" s="1">
        <v>10466</v>
      </c>
      <c r="B367" s="1" t="s">
        <v>26</v>
      </c>
      <c r="C367" s="1" t="s">
        <v>27</v>
      </c>
      <c r="D367" t="s">
        <v>64</v>
      </c>
      <c r="E367" s="1">
        <v>250</v>
      </c>
      <c r="F367" s="1">
        <v>500</v>
      </c>
      <c r="G367" s="1">
        <v>849</v>
      </c>
      <c r="H367" s="1">
        <f>Int_breweries[[#This Row],[PLANT_COST]]*Int_breweries[[#This Row],[QUANTITY]]</f>
        <v>212250</v>
      </c>
      <c r="I367" s="1">
        <v>424500</v>
      </c>
      <c r="J367" s="1">
        <v>212250</v>
      </c>
      <c r="K367" s="1" t="s">
        <v>14</v>
      </c>
      <c r="L367" t="s">
        <v>60</v>
      </c>
      <c r="M367" s="1" t="s">
        <v>34</v>
      </c>
      <c r="N367" s="1">
        <v>2018</v>
      </c>
      <c r="O367" t="str" cm="1">
        <f t="array" ref="O367">_xlfn.IFS(OR($K367="Ghana", $K367="Nigeria"), "Anglophone", OR($K367="Togo", $K367="Benin", $K367="Senegal"), "Francophone")</f>
        <v>Anglophone</v>
      </c>
      <c r="P367" s="1" t="str">
        <f>LEFT(Int_breweries[[#This Row],[MONTHS]], 3)</f>
        <v>Jun</v>
      </c>
    </row>
    <row r="368" spans="1:16" ht="12.5" x14ac:dyDescent="0.25">
      <c r="A368" s="1">
        <v>10467</v>
      </c>
      <c r="B368" s="1" t="s">
        <v>30</v>
      </c>
      <c r="C368" s="1" t="s">
        <v>31</v>
      </c>
      <c r="D368" t="s">
        <v>65</v>
      </c>
      <c r="E368" s="1">
        <v>180</v>
      </c>
      <c r="F368" s="1">
        <v>450</v>
      </c>
      <c r="G368" s="1">
        <v>736</v>
      </c>
      <c r="H368" s="1">
        <f>Int_breweries[[#This Row],[PLANT_COST]]*Int_breweries[[#This Row],[QUANTITY]]</f>
        <v>132480</v>
      </c>
      <c r="I368" s="1">
        <v>331200</v>
      </c>
      <c r="J368" s="1">
        <v>198720</v>
      </c>
      <c r="K368" s="1" t="s">
        <v>19</v>
      </c>
      <c r="L368" t="s">
        <v>61</v>
      </c>
      <c r="M368" s="1" t="s">
        <v>37</v>
      </c>
      <c r="N368" s="1">
        <v>2018</v>
      </c>
      <c r="O368" t="str" cm="1">
        <f t="array" ref="O368">_xlfn.IFS(OR($K368="Ghana", $K368="Nigeria"), "Anglophone", OR($K368="Togo", $K368="Benin", $K368="Senegal"), "Francophone")</f>
        <v>Anglophone</v>
      </c>
      <c r="P368" s="1" t="str">
        <f>LEFT(Int_breweries[[#This Row],[MONTHS]], 3)</f>
        <v>Jul</v>
      </c>
    </row>
    <row r="369" spans="1:16" ht="12.5" x14ac:dyDescent="0.25">
      <c r="A369" s="1">
        <v>10468</v>
      </c>
      <c r="B369" s="1" t="s">
        <v>12</v>
      </c>
      <c r="C369" s="1" t="s">
        <v>13</v>
      </c>
      <c r="D369" t="s">
        <v>66</v>
      </c>
      <c r="E369" s="1">
        <v>170</v>
      </c>
      <c r="F369" s="1">
        <v>250</v>
      </c>
      <c r="G369" s="1">
        <v>843</v>
      </c>
      <c r="H369" s="1">
        <f>Int_breweries[[#This Row],[PLANT_COST]]*Int_breweries[[#This Row],[QUANTITY]]</f>
        <v>143310</v>
      </c>
      <c r="I369" s="1">
        <v>210750</v>
      </c>
      <c r="J369" s="1">
        <v>67440</v>
      </c>
      <c r="K369" s="1" t="s">
        <v>24</v>
      </c>
      <c r="L369" t="s">
        <v>62</v>
      </c>
      <c r="M369" s="1" t="s">
        <v>38</v>
      </c>
      <c r="N369" s="1">
        <v>2019</v>
      </c>
      <c r="O369" t="str" cm="1">
        <f t="array" ref="O369">_xlfn.IFS(OR($K369="Ghana", $K369="Nigeria"), "Anglophone", OR($K369="Togo", $K369="Benin", $K369="Senegal"), "Francophone")</f>
        <v>Francophone</v>
      </c>
      <c r="P369" s="1" t="str">
        <f>LEFT(Int_breweries[[#This Row],[MONTHS]], 3)</f>
        <v>Aug</v>
      </c>
    </row>
    <row r="370" spans="1:16" ht="12.5" x14ac:dyDescent="0.25">
      <c r="A370" s="1">
        <v>10469</v>
      </c>
      <c r="B370" s="1" t="s">
        <v>35</v>
      </c>
      <c r="C370" s="1" t="s">
        <v>36</v>
      </c>
      <c r="D370" t="s">
        <v>67</v>
      </c>
      <c r="E370" s="1">
        <v>150</v>
      </c>
      <c r="F370" s="1">
        <v>200</v>
      </c>
      <c r="G370" s="1">
        <v>999</v>
      </c>
      <c r="H370" s="1">
        <f>Int_breweries[[#This Row],[PLANT_COST]]*Int_breweries[[#This Row],[QUANTITY]]</f>
        <v>149850</v>
      </c>
      <c r="I370" s="1">
        <v>199800</v>
      </c>
      <c r="J370" s="1">
        <v>49950</v>
      </c>
      <c r="K370" s="1" t="s">
        <v>28</v>
      </c>
      <c r="L370" t="s">
        <v>15</v>
      </c>
      <c r="M370" s="1" t="s">
        <v>41</v>
      </c>
      <c r="N370" s="1">
        <v>2018</v>
      </c>
      <c r="O370" t="str" cm="1">
        <f t="array" ref="O370">_xlfn.IFS(OR($K370="Ghana", $K370="Nigeria"), "Anglophone", OR($K370="Togo", $K370="Benin", $K370="Senegal"), "Francophone")</f>
        <v>Francophone</v>
      </c>
      <c r="P370" s="1" t="str">
        <f>LEFT(Int_breweries[[#This Row],[MONTHS]], 3)</f>
        <v>Sep</v>
      </c>
    </row>
    <row r="371" spans="1:16" ht="12.5" x14ac:dyDescent="0.25">
      <c r="A371" s="1">
        <v>10470</v>
      </c>
      <c r="B371" s="1" t="s">
        <v>26</v>
      </c>
      <c r="C371" s="1" t="s">
        <v>27</v>
      </c>
      <c r="D371" t="s">
        <v>68</v>
      </c>
      <c r="E371" s="1">
        <v>80</v>
      </c>
      <c r="F371" s="1">
        <v>150</v>
      </c>
      <c r="G371" s="1">
        <v>996</v>
      </c>
      <c r="H371" s="1">
        <f>Int_breweries[[#This Row],[PLANT_COST]]*Int_breweries[[#This Row],[QUANTITY]]</f>
        <v>79680</v>
      </c>
      <c r="I371" s="1">
        <v>149400</v>
      </c>
      <c r="J371" s="1">
        <v>69720</v>
      </c>
      <c r="K371" s="1" t="s">
        <v>32</v>
      </c>
      <c r="L371" t="s">
        <v>58</v>
      </c>
      <c r="M371" s="1" t="s">
        <v>44</v>
      </c>
      <c r="N371" s="1">
        <v>2018</v>
      </c>
      <c r="O371" t="str" cm="1">
        <f t="array" ref="O371">_xlfn.IFS(OR($K371="Ghana", $K371="Nigeria"), "Anglophone", OR($K371="Togo", $K371="Benin", $K371="Senegal"), "Francophone")</f>
        <v>Francophone</v>
      </c>
      <c r="P371" s="1" t="str">
        <f>LEFT(Int_breweries[[#This Row],[MONTHS]], 3)</f>
        <v>Oct</v>
      </c>
    </row>
    <row r="372" spans="1:16" ht="12.5" x14ac:dyDescent="0.25">
      <c r="A372" s="1">
        <v>10471</v>
      </c>
      <c r="B372" s="1" t="s">
        <v>39</v>
      </c>
      <c r="C372" s="1" t="s">
        <v>40</v>
      </c>
      <c r="D372" t="s">
        <v>69</v>
      </c>
      <c r="E372" s="1">
        <v>90</v>
      </c>
      <c r="F372" s="1">
        <v>150</v>
      </c>
      <c r="G372" s="1">
        <v>718</v>
      </c>
      <c r="H372" s="1">
        <f>Int_breweries[[#This Row],[PLANT_COST]]*Int_breweries[[#This Row],[QUANTITY]]</f>
        <v>64620</v>
      </c>
      <c r="I372" s="1">
        <v>107700</v>
      </c>
      <c r="J372" s="1">
        <v>43080</v>
      </c>
      <c r="K372" s="1" t="s">
        <v>14</v>
      </c>
      <c r="L372" t="s">
        <v>59</v>
      </c>
      <c r="M372" s="1" t="s">
        <v>47</v>
      </c>
      <c r="N372" s="1">
        <v>2017</v>
      </c>
      <c r="O372" t="str" cm="1">
        <f t="array" ref="O372">_xlfn.IFS(OR($K372="Ghana", $K372="Nigeria"), "Anglophone", OR($K372="Togo", $K372="Benin", $K372="Senegal"), "Francophone")</f>
        <v>Anglophone</v>
      </c>
      <c r="P372" s="1" t="str">
        <f>LEFT(Int_breweries[[#This Row],[MONTHS]], 3)</f>
        <v>Nov</v>
      </c>
    </row>
    <row r="373" spans="1:16" ht="12.5" x14ac:dyDescent="0.25">
      <c r="A373" s="1">
        <v>10472</v>
      </c>
      <c r="B373" s="1" t="s">
        <v>42</v>
      </c>
      <c r="C373" s="1" t="s">
        <v>43</v>
      </c>
      <c r="D373" t="s">
        <v>63</v>
      </c>
      <c r="E373" s="1">
        <v>150</v>
      </c>
      <c r="F373" s="1">
        <v>200</v>
      </c>
      <c r="G373" s="1">
        <v>700</v>
      </c>
      <c r="H373" s="1">
        <f>Int_breweries[[#This Row],[PLANT_COST]]*Int_breweries[[#This Row],[QUANTITY]]</f>
        <v>105000</v>
      </c>
      <c r="I373" s="1">
        <v>140000</v>
      </c>
      <c r="J373" s="1">
        <v>35000</v>
      </c>
      <c r="K373" s="1" t="s">
        <v>19</v>
      </c>
      <c r="L373" t="s">
        <v>60</v>
      </c>
      <c r="M373" s="1" t="s">
        <v>48</v>
      </c>
      <c r="N373" s="1">
        <v>2017</v>
      </c>
      <c r="O373" t="str" cm="1">
        <f t="array" ref="O373">_xlfn.IFS(OR($K373="Ghana", $K373="Nigeria"), "Anglophone", OR($K373="Togo", $K373="Benin", $K373="Senegal"), "Francophone")</f>
        <v>Anglophone</v>
      </c>
      <c r="P373" s="1" t="str">
        <f>LEFT(Int_breweries[[#This Row],[MONTHS]], 3)</f>
        <v>Dec</v>
      </c>
    </row>
    <row r="374" spans="1:16" ht="12.5" x14ac:dyDescent="0.25">
      <c r="A374" s="1">
        <v>10473</v>
      </c>
      <c r="B374" s="1" t="s">
        <v>45</v>
      </c>
      <c r="C374" s="1" t="s">
        <v>46</v>
      </c>
      <c r="D374" t="s">
        <v>64</v>
      </c>
      <c r="E374" s="1">
        <v>250</v>
      </c>
      <c r="F374" s="1">
        <v>500</v>
      </c>
      <c r="G374" s="1">
        <v>827</v>
      </c>
      <c r="H374" s="1">
        <f>Int_breweries[[#This Row],[PLANT_COST]]*Int_breweries[[#This Row],[QUANTITY]]</f>
        <v>206750</v>
      </c>
      <c r="I374" s="1">
        <v>413500</v>
      </c>
      <c r="J374" s="1">
        <v>206750</v>
      </c>
      <c r="K374" s="1" t="s">
        <v>24</v>
      </c>
      <c r="L374" t="s">
        <v>61</v>
      </c>
      <c r="M374" s="1" t="s">
        <v>16</v>
      </c>
      <c r="N374" s="1">
        <v>2018</v>
      </c>
      <c r="O374" t="str" cm="1">
        <f t="array" ref="O374">_xlfn.IFS(OR($K374="Ghana", $K374="Nigeria"), "Anglophone", OR($K374="Togo", $K374="Benin", $K374="Senegal"), "Francophone")</f>
        <v>Francophone</v>
      </c>
      <c r="P374" s="1" t="str">
        <f>LEFT(Int_breweries[[#This Row],[MONTHS]], 3)</f>
        <v>Jan</v>
      </c>
    </row>
    <row r="375" spans="1:16" ht="12.5" x14ac:dyDescent="0.25">
      <c r="A375" s="1">
        <v>10474</v>
      </c>
      <c r="B375" s="1" t="s">
        <v>26</v>
      </c>
      <c r="C375" s="1" t="s">
        <v>27</v>
      </c>
      <c r="D375" t="s">
        <v>65</v>
      </c>
      <c r="E375" s="1">
        <v>180</v>
      </c>
      <c r="F375" s="1">
        <v>450</v>
      </c>
      <c r="G375" s="1">
        <v>755</v>
      </c>
      <c r="H375" s="1">
        <f>Int_breweries[[#This Row],[PLANT_COST]]*Int_breweries[[#This Row],[QUANTITY]]</f>
        <v>135900</v>
      </c>
      <c r="I375" s="1">
        <v>339750</v>
      </c>
      <c r="J375" s="1">
        <v>203850</v>
      </c>
      <c r="K375" s="1" t="s">
        <v>28</v>
      </c>
      <c r="L375" t="s">
        <v>62</v>
      </c>
      <c r="M375" s="1" t="s">
        <v>21</v>
      </c>
      <c r="N375" s="1">
        <v>2018</v>
      </c>
      <c r="O375" t="str" cm="1">
        <f t="array" ref="O375">_xlfn.IFS(OR($K375="Ghana", $K375="Nigeria"), "Anglophone", OR($K375="Togo", $K375="Benin", $K375="Senegal"), "Francophone")</f>
        <v>Francophone</v>
      </c>
      <c r="P375" s="1" t="str">
        <f>LEFT(Int_breweries[[#This Row],[MONTHS]], 3)</f>
        <v>Feb</v>
      </c>
    </row>
    <row r="376" spans="1:16" ht="12.5" x14ac:dyDescent="0.25">
      <c r="A376" s="1">
        <v>10475</v>
      </c>
      <c r="B376" s="1" t="s">
        <v>49</v>
      </c>
      <c r="C376" s="1" t="s">
        <v>50</v>
      </c>
      <c r="D376" t="s">
        <v>66</v>
      </c>
      <c r="E376" s="1">
        <v>170</v>
      </c>
      <c r="F376" s="1">
        <v>250</v>
      </c>
      <c r="G376" s="1">
        <v>803</v>
      </c>
      <c r="H376" s="1">
        <f>Int_breweries[[#This Row],[PLANT_COST]]*Int_breweries[[#This Row],[QUANTITY]]</f>
        <v>136510</v>
      </c>
      <c r="I376" s="1">
        <v>200750</v>
      </c>
      <c r="J376" s="1">
        <v>64240</v>
      </c>
      <c r="K376" s="1" t="s">
        <v>32</v>
      </c>
      <c r="L376" t="s">
        <v>15</v>
      </c>
      <c r="M376" s="1" t="s">
        <v>25</v>
      </c>
      <c r="N376" s="1">
        <v>2019</v>
      </c>
      <c r="O376" t="str" cm="1">
        <f t="array" ref="O376">_xlfn.IFS(OR($K376="Ghana", $K376="Nigeria"), "Anglophone", OR($K376="Togo", $K376="Benin", $K376="Senegal"), "Francophone")</f>
        <v>Francophone</v>
      </c>
      <c r="P376" s="1" t="str">
        <f>LEFT(Int_breweries[[#This Row],[MONTHS]], 3)</f>
        <v>Mar</v>
      </c>
    </row>
    <row r="377" spans="1:16" ht="12.5" x14ac:dyDescent="0.25">
      <c r="A377" s="1">
        <v>10476</v>
      </c>
      <c r="B377" s="1" t="s">
        <v>26</v>
      </c>
      <c r="C377" s="1" t="s">
        <v>27</v>
      </c>
      <c r="D377" t="s">
        <v>67</v>
      </c>
      <c r="E377" s="1">
        <v>150</v>
      </c>
      <c r="F377" s="1">
        <v>200</v>
      </c>
      <c r="G377" s="1">
        <v>731</v>
      </c>
      <c r="H377" s="1">
        <f>Int_breweries[[#This Row],[PLANT_COST]]*Int_breweries[[#This Row],[QUANTITY]]</f>
        <v>109650</v>
      </c>
      <c r="I377" s="1">
        <v>146200</v>
      </c>
      <c r="J377" s="1">
        <v>36550</v>
      </c>
      <c r="K377" s="1" t="s">
        <v>14</v>
      </c>
      <c r="L377" t="s">
        <v>58</v>
      </c>
      <c r="M377" s="1" t="s">
        <v>29</v>
      </c>
      <c r="N377" s="1">
        <v>2019</v>
      </c>
      <c r="O377" t="str" cm="1">
        <f t="array" ref="O377">_xlfn.IFS(OR($K377="Ghana", $K377="Nigeria"), "Anglophone", OR($K377="Togo", $K377="Benin", $K377="Senegal"), "Francophone")</f>
        <v>Anglophone</v>
      </c>
      <c r="P377" s="1" t="str">
        <f>LEFT(Int_breweries[[#This Row],[MONTHS]], 3)</f>
        <v>Apr</v>
      </c>
    </row>
    <row r="378" spans="1:16" ht="12.5" x14ac:dyDescent="0.25">
      <c r="A378" s="1">
        <v>10477</v>
      </c>
      <c r="B378" s="1" t="s">
        <v>39</v>
      </c>
      <c r="C378" s="1" t="s">
        <v>40</v>
      </c>
      <c r="D378" t="s">
        <v>68</v>
      </c>
      <c r="E378" s="1">
        <v>80</v>
      </c>
      <c r="F378" s="1">
        <v>150</v>
      </c>
      <c r="G378" s="1">
        <v>910</v>
      </c>
      <c r="H378" s="1">
        <f>Int_breweries[[#This Row],[PLANT_COST]]*Int_breweries[[#This Row],[QUANTITY]]</f>
        <v>72800</v>
      </c>
      <c r="I378" s="1">
        <v>136500</v>
      </c>
      <c r="J378" s="1">
        <v>63700</v>
      </c>
      <c r="K378" s="1" t="s">
        <v>19</v>
      </c>
      <c r="L378" t="s">
        <v>59</v>
      </c>
      <c r="M378" s="1" t="s">
        <v>33</v>
      </c>
      <c r="N378" s="1">
        <v>2019</v>
      </c>
      <c r="O378" t="str" cm="1">
        <f t="array" ref="O378">_xlfn.IFS(OR($K378="Ghana", $K378="Nigeria"), "Anglophone", OR($K378="Togo", $K378="Benin", $K378="Senegal"), "Francophone")</f>
        <v>Anglophone</v>
      </c>
      <c r="P378" s="1" t="str">
        <f>LEFT(Int_breweries[[#This Row],[MONTHS]], 3)</f>
        <v>May</v>
      </c>
    </row>
    <row r="379" spans="1:16" ht="12.5" x14ac:dyDescent="0.25">
      <c r="A379" s="1">
        <v>10478</v>
      </c>
      <c r="B379" s="1" t="s">
        <v>26</v>
      </c>
      <c r="C379" s="1" t="s">
        <v>27</v>
      </c>
      <c r="D379" t="s">
        <v>69</v>
      </c>
      <c r="E379" s="1">
        <v>90</v>
      </c>
      <c r="F379" s="1">
        <v>150</v>
      </c>
      <c r="G379" s="1">
        <v>747</v>
      </c>
      <c r="H379" s="1">
        <f>Int_breweries[[#This Row],[PLANT_COST]]*Int_breweries[[#This Row],[QUANTITY]]</f>
        <v>67230</v>
      </c>
      <c r="I379" s="1">
        <v>112050</v>
      </c>
      <c r="J379" s="1">
        <v>44820</v>
      </c>
      <c r="K379" s="1" t="s">
        <v>24</v>
      </c>
      <c r="L379" t="s">
        <v>60</v>
      </c>
      <c r="M379" s="1" t="s">
        <v>34</v>
      </c>
      <c r="N379" s="1">
        <v>2017</v>
      </c>
      <c r="O379" t="str" cm="1">
        <f t="array" ref="O379">_xlfn.IFS(OR($K379="Ghana", $K379="Nigeria"), "Anglophone", OR($K379="Togo", $K379="Benin", $K379="Senegal"), "Francophone")</f>
        <v>Francophone</v>
      </c>
      <c r="P379" s="1" t="str">
        <f>LEFT(Int_breweries[[#This Row],[MONTHS]], 3)</f>
        <v>Jun</v>
      </c>
    </row>
    <row r="380" spans="1:16" ht="12.5" x14ac:dyDescent="0.25">
      <c r="A380" s="1">
        <v>10479</v>
      </c>
      <c r="B380" s="1" t="s">
        <v>45</v>
      </c>
      <c r="C380" s="1" t="s">
        <v>46</v>
      </c>
      <c r="D380" t="s">
        <v>63</v>
      </c>
      <c r="E380" s="1">
        <v>150</v>
      </c>
      <c r="F380" s="1">
        <v>200</v>
      </c>
      <c r="G380" s="1">
        <v>994</v>
      </c>
      <c r="H380" s="1">
        <f>Int_breweries[[#This Row],[PLANT_COST]]*Int_breweries[[#This Row],[QUANTITY]]</f>
        <v>149100</v>
      </c>
      <c r="I380" s="1">
        <v>198800</v>
      </c>
      <c r="J380" s="1">
        <v>49700</v>
      </c>
      <c r="K380" s="1" t="s">
        <v>28</v>
      </c>
      <c r="L380" t="s">
        <v>61</v>
      </c>
      <c r="M380" s="1" t="s">
        <v>37</v>
      </c>
      <c r="N380" s="1">
        <v>2017</v>
      </c>
      <c r="O380" t="str" cm="1">
        <f t="array" ref="O380">_xlfn.IFS(OR($K380="Ghana", $K380="Nigeria"), "Anglophone", OR($K380="Togo", $K380="Benin", $K380="Senegal"), "Francophone")</f>
        <v>Francophone</v>
      </c>
      <c r="P380" s="1" t="str">
        <f>LEFT(Int_breweries[[#This Row],[MONTHS]], 3)</f>
        <v>Jul</v>
      </c>
    </row>
    <row r="381" spans="1:16" ht="12.5" x14ac:dyDescent="0.25">
      <c r="A381" s="1">
        <v>10480</v>
      </c>
      <c r="B381" s="1" t="s">
        <v>51</v>
      </c>
      <c r="C381" s="1" t="s">
        <v>52</v>
      </c>
      <c r="D381" t="s">
        <v>64</v>
      </c>
      <c r="E381" s="1">
        <v>250</v>
      </c>
      <c r="F381" s="1">
        <v>500</v>
      </c>
      <c r="G381" s="1">
        <v>982</v>
      </c>
      <c r="H381" s="1">
        <f>Int_breweries[[#This Row],[PLANT_COST]]*Int_breweries[[#This Row],[QUANTITY]]</f>
        <v>245500</v>
      </c>
      <c r="I381" s="1">
        <v>491000</v>
      </c>
      <c r="J381" s="1">
        <v>245500</v>
      </c>
      <c r="K381" s="1" t="s">
        <v>32</v>
      </c>
      <c r="L381" t="s">
        <v>62</v>
      </c>
      <c r="M381" s="1" t="s">
        <v>38</v>
      </c>
      <c r="N381" s="1">
        <v>2017</v>
      </c>
      <c r="O381" t="str" cm="1">
        <f t="array" ref="O381">_xlfn.IFS(OR($K381="Ghana", $K381="Nigeria"), "Anglophone", OR($K381="Togo", $K381="Benin", $K381="Senegal"), "Francophone")</f>
        <v>Francophone</v>
      </c>
      <c r="P381" s="1" t="str">
        <f>LEFT(Int_breweries[[#This Row],[MONTHS]], 3)</f>
        <v>Aug</v>
      </c>
    </row>
    <row r="382" spans="1:16" ht="12.5" x14ac:dyDescent="0.25">
      <c r="A382" s="1">
        <v>10481</v>
      </c>
      <c r="B382" s="1" t="s">
        <v>49</v>
      </c>
      <c r="C382" s="1" t="s">
        <v>50</v>
      </c>
      <c r="D382" t="s">
        <v>65</v>
      </c>
      <c r="E382" s="1">
        <v>180</v>
      </c>
      <c r="F382" s="1">
        <v>450</v>
      </c>
      <c r="G382" s="1">
        <v>958</v>
      </c>
      <c r="H382" s="1">
        <f>Int_breweries[[#This Row],[PLANT_COST]]*Int_breweries[[#This Row],[QUANTITY]]</f>
        <v>172440</v>
      </c>
      <c r="I382" s="1">
        <v>431100</v>
      </c>
      <c r="J382" s="1">
        <v>258660</v>
      </c>
      <c r="K382" s="1" t="s">
        <v>14</v>
      </c>
      <c r="L382" t="s">
        <v>15</v>
      </c>
      <c r="M382" s="1" t="s">
        <v>41</v>
      </c>
      <c r="N382" s="1">
        <v>2017</v>
      </c>
      <c r="O382" t="str" cm="1">
        <f t="array" ref="O382">_xlfn.IFS(OR($K382="Ghana", $K382="Nigeria"), "Anglophone", OR($K382="Togo", $K382="Benin", $K382="Senegal"), "Francophone")</f>
        <v>Anglophone</v>
      </c>
      <c r="P382" s="1" t="str">
        <f>LEFT(Int_breweries[[#This Row],[MONTHS]], 3)</f>
        <v>Sep</v>
      </c>
    </row>
    <row r="383" spans="1:16" ht="12.5" x14ac:dyDescent="0.25">
      <c r="A383" s="1">
        <v>10482</v>
      </c>
      <c r="B383" s="1" t="s">
        <v>45</v>
      </c>
      <c r="C383" s="1" t="s">
        <v>46</v>
      </c>
      <c r="D383" t="s">
        <v>66</v>
      </c>
      <c r="E383" s="1">
        <v>170</v>
      </c>
      <c r="F383" s="1">
        <v>250</v>
      </c>
      <c r="G383" s="1">
        <v>943</v>
      </c>
      <c r="H383" s="1">
        <f>Int_breweries[[#This Row],[PLANT_COST]]*Int_breweries[[#This Row],[QUANTITY]]</f>
        <v>160310</v>
      </c>
      <c r="I383" s="1">
        <v>235750</v>
      </c>
      <c r="J383" s="1">
        <v>75440</v>
      </c>
      <c r="K383" s="1" t="s">
        <v>19</v>
      </c>
      <c r="L383" t="s">
        <v>58</v>
      </c>
      <c r="M383" s="1" t="s">
        <v>44</v>
      </c>
      <c r="N383" s="1">
        <v>2017</v>
      </c>
      <c r="O383" t="str" cm="1">
        <f t="array" ref="O383">_xlfn.IFS(OR($K383="Ghana", $K383="Nigeria"), "Anglophone", OR($K383="Togo", $K383="Benin", $K383="Senegal"), "Francophone")</f>
        <v>Anglophone</v>
      </c>
      <c r="P383" s="1" t="str">
        <f>LEFT(Int_breweries[[#This Row],[MONTHS]], 3)</f>
        <v>Oct</v>
      </c>
    </row>
    <row r="384" spans="1:16" ht="12.5" x14ac:dyDescent="0.25">
      <c r="A384" s="1">
        <v>10483</v>
      </c>
      <c r="B384" s="1" t="s">
        <v>17</v>
      </c>
      <c r="C384" s="1" t="s">
        <v>18</v>
      </c>
      <c r="D384" t="s">
        <v>67</v>
      </c>
      <c r="E384" s="1">
        <v>150</v>
      </c>
      <c r="F384" s="1">
        <v>200</v>
      </c>
      <c r="G384" s="1">
        <v>946</v>
      </c>
      <c r="H384" s="1">
        <f>Int_breweries[[#This Row],[PLANT_COST]]*Int_breweries[[#This Row],[QUANTITY]]</f>
        <v>141900</v>
      </c>
      <c r="I384" s="1">
        <v>189200</v>
      </c>
      <c r="J384" s="1">
        <v>47300</v>
      </c>
      <c r="K384" s="1" t="s">
        <v>24</v>
      </c>
      <c r="L384" t="s">
        <v>59</v>
      </c>
      <c r="M384" s="1" t="s">
        <v>47</v>
      </c>
      <c r="N384" s="1">
        <v>2019</v>
      </c>
      <c r="O384" t="str" cm="1">
        <f t="array" ref="O384">_xlfn.IFS(OR($K384="Ghana", $K384="Nigeria"), "Anglophone", OR($K384="Togo", $K384="Benin", $K384="Senegal"), "Francophone")</f>
        <v>Francophone</v>
      </c>
      <c r="P384" s="1" t="str">
        <f>LEFT(Int_breweries[[#This Row],[MONTHS]], 3)</f>
        <v>Nov</v>
      </c>
    </row>
    <row r="385" spans="1:16" ht="12.5" x14ac:dyDescent="0.25">
      <c r="A385" s="1">
        <v>10484</v>
      </c>
      <c r="B385" s="1" t="s">
        <v>49</v>
      </c>
      <c r="C385" s="1" t="s">
        <v>50</v>
      </c>
      <c r="D385" t="s">
        <v>68</v>
      </c>
      <c r="E385" s="1">
        <v>80</v>
      </c>
      <c r="F385" s="1">
        <v>150</v>
      </c>
      <c r="G385" s="1">
        <v>852</v>
      </c>
      <c r="H385" s="1">
        <f>Int_breweries[[#This Row],[PLANT_COST]]*Int_breweries[[#This Row],[QUANTITY]]</f>
        <v>68160</v>
      </c>
      <c r="I385" s="1">
        <v>127800</v>
      </c>
      <c r="J385" s="1">
        <v>59640</v>
      </c>
      <c r="K385" s="1" t="s">
        <v>28</v>
      </c>
      <c r="L385" t="s">
        <v>60</v>
      </c>
      <c r="M385" s="1" t="s">
        <v>48</v>
      </c>
      <c r="N385" s="1">
        <v>2017</v>
      </c>
      <c r="O385" t="str" cm="1">
        <f t="array" ref="O385">_xlfn.IFS(OR($K385="Ghana", $K385="Nigeria"), "Anglophone", OR($K385="Togo", $K385="Benin", $K385="Senegal"), "Francophone")</f>
        <v>Francophone</v>
      </c>
      <c r="P385" s="1" t="str">
        <f>LEFT(Int_breweries[[#This Row],[MONTHS]], 3)</f>
        <v>Dec</v>
      </c>
    </row>
    <row r="386" spans="1:16" ht="12.5" x14ac:dyDescent="0.25">
      <c r="A386" s="1">
        <v>10485</v>
      </c>
      <c r="B386" s="1" t="s">
        <v>26</v>
      </c>
      <c r="C386" s="1" t="s">
        <v>27</v>
      </c>
      <c r="D386" t="s">
        <v>69</v>
      </c>
      <c r="E386" s="1">
        <v>90</v>
      </c>
      <c r="F386" s="1">
        <v>150</v>
      </c>
      <c r="G386" s="1">
        <v>960</v>
      </c>
      <c r="H386" s="1">
        <f>Int_breweries[[#This Row],[PLANT_COST]]*Int_breweries[[#This Row],[QUANTITY]]</f>
        <v>86400</v>
      </c>
      <c r="I386" s="1">
        <v>144000</v>
      </c>
      <c r="J386" s="1">
        <v>57600</v>
      </c>
      <c r="K386" s="1" t="s">
        <v>32</v>
      </c>
      <c r="L386" t="s">
        <v>61</v>
      </c>
      <c r="M386" s="1" t="s">
        <v>16</v>
      </c>
      <c r="N386" s="1">
        <v>2018</v>
      </c>
      <c r="O386" t="str" cm="1">
        <f t="array" ref="O386">_xlfn.IFS(OR($K386="Ghana", $K386="Nigeria"), "Anglophone", OR($K386="Togo", $K386="Benin", $K386="Senegal"), "Francophone")</f>
        <v>Francophone</v>
      </c>
      <c r="P386" s="1" t="str">
        <f>LEFT(Int_breweries[[#This Row],[MONTHS]], 3)</f>
        <v>Jan</v>
      </c>
    </row>
    <row r="387" spans="1:16" ht="12.5" x14ac:dyDescent="0.25">
      <c r="A387" s="1">
        <v>10486</v>
      </c>
      <c r="B387" s="1" t="s">
        <v>22</v>
      </c>
      <c r="C387" s="1" t="s">
        <v>23</v>
      </c>
      <c r="D387" t="s">
        <v>63</v>
      </c>
      <c r="E387" s="1">
        <v>150</v>
      </c>
      <c r="F387" s="1">
        <v>200</v>
      </c>
      <c r="G387" s="1">
        <v>992</v>
      </c>
      <c r="H387" s="1">
        <f>Int_breweries[[#This Row],[PLANT_COST]]*Int_breweries[[#This Row],[QUANTITY]]</f>
        <v>148800</v>
      </c>
      <c r="I387" s="1">
        <v>198400</v>
      </c>
      <c r="J387" s="1">
        <v>49600</v>
      </c>
      <c r="K387" s="1" t="s">
        <v>14</v>
      </c>
      <c r="L387" t="s">
        <v>62</v>
      </c>
      <c r="M387" s="1" t="s">
        <v>21</v>
      </c>
      <c r="N387" s="1">
        <v>2019</v>
      </c>
      <c r="O387" t="str" cm="1">
        <f t="array" ref="O387">_xlfn.IFS(OR($K387="Ghana", $K387="Nigeria"), "Anglophone", OR($K387="Togo", $K387="Benin", $K387="Senegal"), "Francophone")</f>
        <v>Anglophone</v>
      </c>
      <c r="P387" s="1" t="str">
        <f>LEFT(Int_breweries[[#This Row],[MONTHS]], 3)</f>
        <v>Feb</v>
      </c>
    </row>
    <row r="388" spans="1:16" ht="12.5" x14ac:dyDescent="0.25">
      <c r="A388" s="1">
        <v>10487</v>
      </c>
      <c r="B388" s="1" t="s">
        <v>12</v>
      </c>
      <c r="C388" s="1" t="s">
        <v>13</v>
      </c>
      <c r="D388" t="s">
        <v>64</v>
      </c>
      <c r="E388" s="1">
        <v>250</v>
      </c>
      <c r="F388" s="1">
        <v>500</v>
      </c>
      <c r="G388" s="1">
        <v>960</v>
      </c>
      <c r="H388" s="1">
        <f>Int_breweries[[#This Row],[PLANT_COST]]*Int_breweries[[#This Row],[QUANTITY]]</f>
        <v>240000</v>
      </c>
      <c r="I388" s="1">
        <v>480000</v>
      </c>
      <c r="J388" s="1">
        <v>240000</v>
      </c>
      <c r="K388" s="1" t="s">
        <v>19</v>
      </c>
      <c r="L388" t="s">
        <v>15</v>
      </c>
      <c r="M388" s="1" t="s">
        <v>25</v>
      </c>
      <c r="N388" s="1">
        <v>2017</v>
      </c>
      <c r="O388" t="str" cm="1">
        <f t="array" ref="O388">_xlfn.IFS(OR($K388="Ghana", $K388="Nigeria"), "Anglophone", OR($K388="Togo", $K388="Benin", $K388="Senegal"), "Francophone")</f>
        <v>Anglophone</v>
      </c>
      <c r="P388" s="1" t="str">
        <f>LEFT(Int_breweries[[#This Row],[MONTHS]], 3)</f>
        <v>Mar</v>
      </c>
    </row>
    <row r="389" spans="1:16" ht="12.5" x14ac:dyDescent="0.25">
      <c r="A389" s="1">
        <v>10488</v>
      </c>
      <c r="B389" s="1" t="s">
        <v>30</v>
      </c>
      <c r="C389" s="1" t="s">
        <v>31</v>
      </c>
      <c r="D389" t="s">
        <v>65</v>
      </c>
      <c r="E389" s="1">
        <v>180</v>
      </c>
      <c r="F389" s="1">
        <v>450</v>
      </c>
      <c r="G389" s="1">
        <v>842</v>
      </c>
      <c r="H389" s="1">
        <f>Int_breweries[[#This Row],[PLANT_COST]]*Int_breweries[[#This Row],[QUANTITY]]</f>
        <v>151560</v>
      </c>
      <c r="I389" s="1">
        <v>378900</v>
      </c>
      <c r="J389" s="1">
        <v>227340</v>
      </c>
      <c r="K389" s="1" t="s">
        <v>24</v>
      </c>
      <c r="L389" t="s">
        <v>58</v>
      </c>
      <c r="M389" s="1" t="s">
        <v>29</v>
      </c>
      <c r="N389" s="1">
        <v>2018</v>
      </c>
      <c r="O389" t="str" cm="1">
        <f t="array" ref="O389">_xlfn.IFS(OR($K389="Ghana", $K389="Nigeria"), "Anglophone", OR($K389="Togo", $K389="Benin", $K389="Senegal"), "Francophone")</f>
        <v>Francophone</v>
      </c>
      <c r="P389" s="1" t="str">
        <f>LEFT(Int_breweries[[#This Row],[MONTHS]], 3)</f>
        <v>Apr</v>
      </c>
    </row>
    <row r="390" spans="1:16" ht="12.5" x14ac:dyDescent="0.25">
      <c r="A390" s="1">
        <v>10489</v>
      </c>
      <c r="B390" s="1" t="s">
        <v>42</v>
      </c>
      <c r="C390" s="1" t="s">
        <v>43</v>
      </c>
      <c r="D390" t="s">
        <v>66</v>
      </c>
      <c r="E390" s="1">
        <v>170</v>
      </c>
      <c r="F390" s="1">
        <v>250</v>
      </c>
      <c r="G390" s="1">
        <v>750</v>
      </c>
      <c r="H390" s="1">
        <f>Int_breweries[[#This Row],[PLANT_COST]]*Int_breweries[[#This Row],[QUANTITY]]</f>
        <v>127500</v>
      </c>
      <c r="I390" s="1">
        <v>187500</v>
      </c>
      <c r="J390" s="1">
        <v>60000</v>
      </c>
      <c r="K390" s="1" t="s">
        <v>28</v>
      </c>
      <c r="L390" t="s">
        <v>59</v>
      </c>
      <c r="M390" s="1" t="s">
        <v>33</v>
      </c>
      <c r="N390" s="1">
        <v>2018</v>
      </c>
      <c r="O390" t="str" cm="1">
        <f t="array" ref="O390">_xlfn.IFS(OR($K390="Ghana", $K390="Nigeria"), "Anglophone", OR($K390="Togo", $K390="Benin", $K390="Senegal"), "Francophone")</f>
        <v>Francophone</v>
      </c>
      <c r="P390" s="1" t="str">
        <f>LEFT(Int_breweries[[#This Row],[MONTHS]], 3)</f>
        <v>May</v>
      </c>
    </row>
    <row r="391" spans="1:16" ht="12.5" x14ac:dyDescent="0.25">
      <c r="A391" s="1">
        <v>10490</v>
      </c>
      <c r="B391" s="1" t="s">
        <v>17</v>
      </c>
      <c r="C391" s="1" t="s">
        <v>18</v>
      </c>
      <c r="D391" t="s">
        <v>67</v>
      </c>
      <c r="E391" s="1">
        <v>150</v>
      </c>
      <c r="F391" s="1">
        <v>200</v>
      </c>
      <c r="G391" s="1">
        <v>796</v>
      </c>
      <c r="H391" s="1">
        <f>Int_breweries[[#This Row],[PLANT_COST]]*Int_breweries[[#This Row],[QUANTITY]]</f>
        <v>119400</v>
      </c>
      <c r="I391" s="1">
        <v>159200</v>
      </c>
      <c r="J391" s="1">
        <v>39800</v>
      </c>
      <c r="K391" s="1" t="s">
        <v>32</v>
      </c>
      <c r="L391" t="s">
        <v>60</v>
      </c>
      <c r="M391" s="1" t="s">
        <v>34</v>
      </c>
      <c r="N391" s="1">
        <v>2018</v>
      </c>
      <c r="O391" t="str" cm="1">
        <f t="array" ref="O391">_xlfn.IFS(OR($K391="Ghana", $K391="Nigeria"), "Anglophone", OR($K391="Togo", $K391="Benin", $K391="Senegal"), "Francophone")</f>
        <v>Francophone</v>
      </c>
      <c r="P391" s="1" t="str">
        <f>LEFT(Int_breweries[[#This Row],[MONTHS]], 3)</f>
        <v>Jun</v>
      </c>
    </row>
    <row r="392" spans="1:16" ht="12.5" x14ac:dyDescent="0.25">
      <c r="A392" s="1">
        <v>10491</v>
      </c>
      <c r="B392" s="1" t="s">
        <v>17</v>
      </c>
      <c r="C392" s="1" t="s">
        <v>18</v>
      </c>
      <c r="D392" t="s">
        <v>68</v>
      </c>
      <c r="E392" s="1">
        <v>80</v>
      </c>
      <c r="F392" s="1">
        <v>150</v>
      </c>
      <c r="G392" s="1">
        <v>944</v>
      </c>
      <c r="H392" s="1">
        <f>Int_breweries[[#This Row],[PLANT_COST]]*Int_breweries[[#This Row],[QUANTITY]]</f>
        <v>75520</v>
      </c>
      <c r="I392" s="1">
        <v>141600</v>
      </c>
      <c r="J392" s="1">
        <v>66080</v>
      </c>
      <c r="K392" s="1" t="s">
        <v>14</v>
      </c>
      <c r="L392" t="s">
        <v>61</v>
      </c>
      <c r="M392" s="1" t="s">
        <v>37</v>
      </c>
      <c r="N392" s="1">
        <v>2018</v>
      </c>
      <c r="O392" t="str" cm="1">
        <f t="array" ref="O392">_xlfn.IFS(OR($K392="Ghana", $K392="Nigeria"), "Anglophone", OR($K392="Togo", $K392="Benin", $K392="Senegal"), "Francophone")</f>
        <v>Anglophone</v>
      </c>
      <c r="P392" s="1" t="str">
        <f>LEFT(Int_breweries[[#This Row],[MONTHS]], 3)</f>
        <v>Jul</v>
      </c>
    </row>
    <row r="393" spans="1:16" ht="12.5" x14ac:dyDescent="0.25">
      <c r="A393" s="1">
        <v>10492</v>
      </c>
      <c r="B393" s="1" t="s">
        <v>51</v>
      </c>
      <c r="C393" s="1" t="s">
        <v>52</v>
      </c>
      <c r="D393" t="s">
        <v>69</v>
      </c>
      <c r="E393" s="1">
        <v>90</v>
      </c>
      <c r="F393" s="1">
        <v>150</v>
      </c>
      <c r="G393" s="1">
        <v>854</v>
      </c>
      <c r="H393" s="1">
        <f>Int_breweries[[#This Row],[PLANT_COST]]*Int_breweries[[#This Row],[QUANTITY]]</f>
        <v>76860</v>
      </c>
      <c r="I393" s="1">
        <v>128100</v>
      </c>
      <c r="J393" s="1">
        <v>51240</v>
      </c>
      <c r="K393" s="1" t="s">
        <v>19</v>
      </c>
      <c r="L393" t="s">
        <v>62</v>
      </c>
      <c r="M393" s="1" t="s">
        <v>38</v>
      </c>
      <c r="N393" s="1">
        <v>2019</v>
      </c>
      <c r="O393" t="str" cm="1">
        <f t="array" ref="O393">_xlfn.IFS(OR($K393="Ghana", $K393="Nigeria"), "Anglophone", OR($K393="Togo", $K393="Benin", $K393="Senegal"), "Francophone")</f>
        <v>Anglophone</v>
      </c>
      <c r="P393" s="1" t="str">
        <f>LEFT(Int_breweries[[#This Row],[MONTHS]], 3)</f>
        <v>Aug</v>
      </c>
    </row>
    <row r="394" spans="1:16" ht="12.5" x14ac:dyDescent="0.25">
      <c r="A394" s="1">
        <v>10493</v>
      </c>
      <c r="B394" s="1" t="s">
        <v>26</v>
      </c>
      <c r="C394" s="1" t="s">
        <v>27</v>
      </c>
      <c r="D394" t="s">
        <v>63</v>
      </c>
      <c r="E394" s="1">
        <v>150</v>
      </c>
      <c r="F394" s="1">
        <v>200</v>
      </c>
      <c r="G394" s="1">
        <v>926</v>
      </c>
      <c r="H394" s="1">
        <f>Int_breweries[[#This Row],[PLANT_COST]]*Int_breweries[[#This Row],[QUANTITY]]</f>
        <v>138900</v>
      </c>
      <c r="I394" s="1">
        <v>185200</v>
      </c>
      <c r="J394" s="1">
        <v>46300</v>
      </c>
      <c r="K394" s="1" t="s">
        <v>24</v>
      </c>
      <c r="L394" t="s">
        <v>15</v>
      </c>
      <c r="M394" s="1" t="s">
        <v>41</v>
      </c>
      <c r="N394" s="1">
        <v>2019</v>
      </c>
      <c r="O394" t="str" cm="1">
        <f t="array" ref="O394">_xlfn.IFS(OR($K394="Ghana", $K394="Nigeria"), "Anglophone", OR($K394="Togo", $K394="Benin", $K394="Senegal"), "Francophone")</f>
        <v>Francophone</v>
      </c>
      <c r="P394" s="1" t="str">
        <f>LEFT(Int_breweries[[#This Row],[MONTHS]], 3)</f>
        <v>Sep</v>
      </c>
    </row>
    <row r="395" spans="1:16" ht="12.5" x14ac:dyDescent="0.25">
      <c r="A395" s="1">
        <v>10494</v>
      </c>
      <c r="B395" s="1" t="s">
        <v>39</v>
      </c>
      <c r="C395" s="1" t="s">
        <v>40</v>
      </c>
      <c r="D395" t="s">
        <v>64</v>
      </c>
      <c r="E395" s="1">
        <v>250</v>
      </c>
      <c r="F395" s="1">
        <v>500</v>
      </c>
      <c r="G395" s="1">
        <v>808</v>
      </c>
      <c r="H395" s="1">
        <f>Int_breweries[[#This Row],[PLANT_COST]]*Int_breweries[[#This Row],[QUANTITY]]</f>
        <v>202000</v>
      </c>
      <c r="I395" s="1">
        <v>404000</v>
      </c>
      <c r="J395" s="1">
        <v>202000</v>
      </c>
      <c r="K395" s="1" t="s">
        <v>28</v>
      </c>
      <c r="L395" t="s">
        <v>58</v>
      </c>
      <c r="M395" s="1" t="s">
        <v>44</v>
      </c>
      <c r="N395" s="1">
        <v>2017</v>
      </c>
      <c r="O395" t="str" cm="1">
        <f t="array" ref="O395">_xlfn.IFS(OR($K395="Ghana", $K395="Nigeria"), "Anglophone", OR($K395="Togo", $K395="Benin", $K395="Senegal"), "Francophone")</f>
        <v>Francophone</v>
      </c>
      <c r="P395" s="1" t="str">
        <f>LEFT(Int_breweries[[#This Row],[MONTHS]], 3)</f>
        <v>Oct</v>
      </c>
    </row>
    <row r="396" spans="1:16" ht="12.5" x14ac:dyDescent="0.25">
      <c r="A396" s="1">
        <v>10495</v>
      </c>
      <c r="B396" s="1" t="s">
        <v>51</v>
      </c>
      <c r="C396" s="1" t="s">
        <v>52</v>
      </c>
      <c r="D396" t="s">
        <v>65</v>
      </c>
      <c r="E396" s="1">
        <v>180</v>
      </c>
      <c r="F396" s="1">
        <v>450</v>
      </c>
      <c r="G396" s="1">
        <v>883</v>
      </c>
      <c r="H396" s="1">
        <f>Int_breweries[[#This Row],[PLANT_COST]]*Int_breweries[[#This Row],[QUANTITY]]</f>
        <v>158940</v>
      </c>
      <c r="I396" s="1">
        <v>397350</v>
      </c>
      <c r="J396" s="1">
        <v>238410</v>
      </c>
      <c r="K396" s="1" t="s">
        <v>32</v>
      </c>
      <c r="L396" t="s">
        <v>59</v>
      </c>
      <c r="M396" s="1" t="s">
        <v>47</v>
      </c>
      <c r="N396" s="1">
        <v>2019</v>
      </c>
      <c r="O396" t="str" cm="1">
        <f t="array" ref="O396">_xlfn.IFS(OR($K396="Ghana", $K396="Nigeria"), "Anglophone", OR($K396="Togo", $K396="Benin", $K396="Senegal"), "Francophone")</f>
        <v>Francophone</v>
      </c>
      <c r="P396" s="1" t="str">
        <f>LEFT(Int_breweries[[#This Row],[MONTHS]], 3)</f>
        <v>Nov</v>
      </c>
    </row>
    <row r="397" spans="1:16" ht="12.5" x14ac:dyDescent="0.25">
      <c r="A397" s="1">
        <v>10496</v>
      </c>
      <c r="B397" s="1" t="s">
        <v>22</v>
      </c>
      <c r="C397" s="1" t="s">
        <v>23</v>
      </c>
      <c r="D397" t="s">
        <v>66</v>
      </c>
      <c r="E397" s="1">
        <v>170</v>
      </c>
      <c r="F397" s="1">
        <v>250</v>
      </c>
      <c r="G397" s="1">
        <v>958</v>
      </c>
      <c r="H397" s="1">
        <f>Int_breweries[[#This Row],[PLANT_COST]]*Int_breweries[[#This Row],[QUANTITY]]</f>
        <v>162860</v>
      </c>
      <c r="I397" s="1">
        <v>239500</v>
      </c>
      <c r="J397" s="1">
        <v>76640</v>
      </c>
      <c r="K397" s="1" t="s">
        <v>14</v>
      </c>
      <c r="L397" t="s">
        <v>60</v>
      </c>
      <c r="M397" s="1" t="s">
        <v>48</v>
      </c>
      <c r="N397" s="1">
        <v>2019</v>
      </c>
      <c r="O397" t="str" cm="1">
        <f t="array" ref="O397">_xlfn.IFS(OR($K397="Ghana", $K397="Nigeria"), "Anglophone", OR($K397="Togo", $K397="Benin", $K397="Senegal"), "Francophone")</f>
        <v>Anglophone</v>
      </c>
      <c r="P397" s="1" t="str">
        <f>LEFT(Int_breweries[[#This Row],[MONTHS]], 3)</f>
        <v>Dec</v>
      </c>
    </row>
    <row r="398" spans="1:16" ht="12.5" x14ac:dyDescent="0.25">
      <c r="A398" s="1">
        <v>10497</v>
      </c>
      <c r="B398" s="1" t="s">
        <v>17</v>
      </c>
      <c r="C398" s="1" t="s">
        <v>18</v>
      </c>
      <c r="D398" t="s">
        <v>67</v>
      </c>
      <c r="E398" s="1">
        <v>150</v>
      </c>
      <c r="F398" s="1">
        <v>200</v>
      </c>
      <c r="G398" s="1">
        <v>984</v>
      </c>
      <c r="H398" s="1">
        <f>Int_breweries[[#This Row],[PLANT_COST]]*Int_breweries[[#This Row],[QUANTITY]]</f>
        <v>147600</v>
      </c>
      <c r="I398" s="1">
        <v>196800</v>
      </c>
      <c r="J398" s="1">
        <v>49200</v>
      </c>
      <c r="K398" s="1" t="s">
        <v>19</v>
      </c>
      <c r="L398" t="s">
        <v>61</v>
      </c>
      <c r="M398" s="1" t="s">
        <v>16</v>
      </c>
      <c r="N398" s="1">
        <v>2019</v>
      </c>
      <c r="O398" t="str" cm="1">
        <f t="array" ref="O398">_xlfn.IFS(OR($K398="Ghana", $K398="Nigeria"), "Anglophone", OR($K398="Togo", $K398="Benin", $K398="Senegal"), "Francophone")</f>
        <v>Anglophone</v>
      </c>
      <c r="P398" s="1" t="str">
        <f>LEFT(Int_breweries[[#This Row],[MONTHS]], 3)</f>
        <v>Jan</v>
      </c>
    </row>
    <row r="399" spans="1:16" ht="12.5" x14ac:dyDescent="0.25">
      <c r="A399" s="1">
        <v>10498</v>
      </c>
      <c r="B399" s="1" t="s">
        <v>22</v>
      </c>
      <c r="C399" s="1" t="s">
        <v>23</v>
      </c>
      <c r="D399" t="s">
        <v>68</v>
      </c>
      <c r="E399" s="1">
        <v>80</v>
      </c>
      <c r="F399" s="1">
        <v>150</v>
      </c>
      <c r="G399" s="1">
        <v>765</v>
      </c>
      <c r="H399" s="1">
        <f>Int_breweries[[#This Row],[PLANT_COST]]*Int_breweries[[#This Row],[QUANTITY]]</f>
        <v>61200</v>
      </c>
      <c r="I399" s="1">
        <v>114750</v>
      </c>
      <c r="J399" s="1">
        <v>53550</v>
      </c>
      <c r="K399" s="1" t="s">
        <v>24</v>
      </c>
      <c r="L399" t="s">
        <v>62</v>
      </c>
      <c r="M399" s="1" t="s">
        <v>21</v>
      </c>
      <c r="N399" s="1">
        <v>2017</v>
      </c>
      <c r="O399" t="str" cm="1">
        <f t="array" ref="O399">_xlfn.IFS(OR($K399="Ghana", $K399="Nigeria"), "Anglophone", OR($K399="Togo", $K399="Benin", $K399="Senegal"), "Francophone")</f>
        <v>Francophone</v>
      </c>
      <c r="P399" s="1" t="str">
        <f>LEFT(Int_breweries[[#This Row],[MONTHS]], 3)</f>
        <v>Feb</v>
      </c>
    </row>
    <row r="400" spans="1:16" ht="12.5" x14ac:dyDescent="0.25">
      <c r="A400" s="1">
        <v>10499</v>
      </c>
      <c r="B400" s="1" t="s">
        <v>35</v>
      </c>
      <c r="C400" s="1" t="s">
        <v>36</v>
      </c>
      <c r="D400" t="s">
        <v>69</v>
      </c>
      <c r="E400" s="1">
        <v>90</v>
      </c>
      <c r="F400" s="1">
        <v>150</v>
      </c>
      <c r="G400" s="1">
        <v>956</v>
      </c>
      <c r="H400" s="1">
        <f>Int_breweries[[#This Row],[PLANT_COST]]*Int_breweries[[#This Row],[QUANTITY]]</f>
        <v>86040</v>
      </c>
      <c r="I400" s="1">
        <v>143400</v>
      </c>
      <c r="J400" s="1">
        <v>57360</v>
      </c>
      <c r="K400" s="1" t="s">
        <v>28</v>
      </c>
      <c r="L400" t="s">
        <v>15</v>
      </c>
      <c r="M400" s="1" t="s">
        <v>25</v>
      </c>
      <c r="N400" s="1">
        <v>2017</v>
      </c>
      <c r="O400" t="str" cm="1">
        <f t="array" ref="O400">_xlfn.IFS(OR($K400="Ghana", $K400="Nigeria"), "Anglophone", OR($K400="Togo", $K400="Benin", $K400="Senegal"), "Francophone")</f>
        <v>Francophone</v>
      </c>
      <c r="P400" s="1" t="str">
        <f>LEFT(Int_breweries[[#This Row],[MONTHS]], 3)</f>
        <v>Mar</v>
      </c>
    </row>
    <row r="401" spans="1:16" ht="12.5" x14ac:dyDescent="0.25">
      <c r="A401" s="1">
        <v>10500</v>
      </c>
      <c r="B401" s="1" t="s">
        <v>30</v>
      </c>
      <c r="C401" s="1" t="s">
        <v>31</v>
      </c>
      <c r="D401" t="s">
        <v>63</v>
      </c>
      <c r="E401" s="1">
        <v>150</v>
      </c>
      <c r="F401" s="1">
        <v>200</v>
      </c>
      <c r="G401" s="1">
        <v>931</v>
      </c>
      <c r="H401" s="1">
        <f>Int_breweries[[#This Row],[PLANT_COST]]*Int_breweries[[#This Row],[QUANTITY]]</f>
        <v>139650</v>
      </c>
      <c r="I401" s="1">
        <v>186200</v>
      </c>
      <c r="J401" s="1">
        <v>46550</v>
      </c>
      <c r="K401" s="1" t="s">
        <v>32</v>
      </c>
      <c r="L401" t="s">
        <v>58</v>
      </c>
      <c r="M401" s="1" t="s">
        <v>29</v>
      </c>
      <c r="N401" s="1">
        <v>2019</v>
      </c>
      <c r="O401" t="str" cm="1">
        <f t="array" ref="O401">_xlfn.IFS(OR($K401="Ghana", $K401="Nigeria"), "Anglophone", OR($K401="Togo", $K401="Benin", $K401="Senegal"), "Francophone")</f>
        <v>Francophone</v>
      </c>
      <c r="P401" s="1" t="str">
        <f>LEFT(Int_breweries[[#This Row],[MONTHS]], 3)</f>
        <v>Apr</v>
      </c>
    </row>
    <row r="402" spans="1:16" ht="12.5" x14ac:dyDescent="0.25">
      <c r="A402" s="1">
        <v>10501</v>
      </c>
      <c r="B402" s="1" t="s">
        <v>12</v>
      </c>
      <c r="C402" s="1" t="s">
        <v>13</v>
      </c>
      <c r="D402" t="s">
        <v>64</v>
      </c>
      <c r="E402" s="1">
        <v>250</v>
      </c>
      <c r="F402" s="1">
        <v>500</v>
      </c>
      <c r="G402" s="1">
        <v>718</v>
      </c>
      <c r="H402" s="1">
        <f>Int_breweries[[#This Row],[PLANT_COST]]*Int_breweries[[#This Row],[QUANTITY]]</f>
        <v>179500</v>
      </c>
      <c r="I402" s="1">
        <v>359000</v>
      </c>
      <c r="J402" s="1">
        <v>179500</v>
      </c>
      <c r="K402" s="1" t="s">
        <v>14</v>
      </c>
      <c r="L402" t="s">
        <v>59</v>
      </c>
      <c r="M402" s="1" t="s">
        <v>33</v>
      </c>
      <c r="N402" s="1">
        <v>2018</v>
      </c>
      <c r="O402" t="str" cm="1">
        <f t="array" ref="O402">_xlfn.IFS(OR($K402="Ghana", $K402="Nigeria"), "Anglophone", OR($K402="Togo", $K402="Benin", $K402="Senegal"), "Francophone")</f>
        <v>Anglophone</v>
      </c>
      <c r="P402" s="1" t="str">
        <f>LEFT(Int_breweries[[#This Row],[MONTHS]], 3)</f>
        <v>May</v>
      </c>
    </row>
    <row r="403" spans="1:16" ht="12.5" x14ac:dyDescent="0.25">
      <c r="A403" s="1">
        <v>10502</v>
      </c>
      <c r="B403" s="1" t="s">
        <v>12</v>
      </c>
      <c r="C403" s="1" t="s">
        <v>13</v>
      </c>
      <c r="D403" t="s">
        <v>65</v>
      </c>
      <c r="E403" s="1">
        <v>180</v>
      </c>
      <c r="F403" s="1">
        <v>450</v>
      </c>
      <c r="G403" s="1">
        <v>776</v>
      </c>
      <c r="H403" s="1">
        <f>Int_breweries[[#This Row],[PLANT_COST]]*Int_breweries[[#This Row],[QUANTITY]]</f>
        <v>139680</v>
      </c>
      <c r="I403" s="1">
        <v>349200</v>
      </c>
      <c r="J403" s="1">
        <v>209520</v>
      </c>
      <c r="K403" s="1" t="s">
        <v>19</v>
      </c>
      <c r="L403" t="s">
        <v>60</v>
      </c>
      <c r="M403" s="1" t="s">
        <v>34</v>
      </c>
      <c r="N403" s="1">
        <v>2018</v>
      </c>
      <c r="O403" t="str" cm="1">
        <f t="array" ref="O403">_xlfn.IFS(OR($K403="Ghana", $K403="Nigeria"), "Anglophone", OR($K403="Togo", $K403="Benin", $K403="Senegal"), "Francophone")</f>
        <v>Anglophone</v>
      </c>
      <c r="P403" s="1" t="str">
        <f>LEFT(Int_breweries[[#This Row],[MONTHS]], 3)</f>
        <v>Jun</v>
      </c>
    </row>
    <row r="404" spans="1:16" ht="12.5" x14ac:dyDescent="0.25">
      <c r="A404" s="1">
        <v>10503</v>
      </c>
      <c r="B404" s="1" t="s">
        <v>30</v>
      </c>
      <c r="C404" s="1" t="s">
        <v>31</v>
      </c>
      <c r="D404" t="s">
        <v>66</v>
      </c>
      <c r="E404" s="1">
        <v>170</v>
      </c>
      <c r="F404" s="1">
        <v>250</v>
      </c>
      <c r="G404" s="1">
        <v>836</v>
      </c>
      <c r="H404" s="1">
        <f>Int_breweries[[#This Row],[PLANT_COST]]*Int_breweries[[#This Row],[QUANTITY]]</f>
        <v>142120</v>
      </c>
      <c r="I404" s="1">
        <v>209000</v>
      </c>
      <c r="J404" s="1">
        <v>66880</v>
      </c>
      <c r="K404" s="1" t="s">
        <v>24</v>
      </c>
      <c r="L404" t="s">
        <v>61</v>
      </c>
      <c r="M404" s="1" t="s">
        <v>37</v>
      </c>
      <c r="N404" s="1">
        <v>2018</v>
      </c>
      <c r="O404" t="str" cm="1">
        <f t="array" ref="O404">_xlfn.IFS(OR($K404="Ghana", $K404="Nigeria"), "Anglophone", OR($K404="Togo", $K404="Benin", $K404="Senegal"), "Francophone")</f>
        <v>Francophone</v>
      </c>
      <c r="P404" s="1" t="str">
        <f>LEFT(Int_breweries[[#This Row],[MONTHS]], 3)</f>
        <v>Jul</v>
      </c>
    </row>
    <row r="405" spans="1:16" ht="12.5" x14ac:dyDescent="0.25">
      <c r="A405" s="1">
        <v>10504</v>
      </c>
      <c r="B405" s="1" t="s">
        <v>26</v>
      </c>
      <c r="C405" s="1" t="s">
        <v>27</v>
      </c>
      <c r="D405" t="s">
        <v>67</v>
      </c>
      <c r="E405" s="1">
        <v>150</v>
      </c>
      <c r="F405" s="1">
        <v>200</v>
      </c>
      <c r="G405" s="1">
        <v>730</v>
      </c>
      <c r="H405" s="1">
        <f>Int_breweries[[#This Row],[PLANT_COST]]*Int_breweries[[#This Row],[QUANTITY]]</f>
        <v>109500</v>
      </c>
      <c r="I405" s="1">
        <v>146000</v>
      </c>
      <c r="J405" s="1">
        <v>36500</v>
      </c>
      <c r="K405" s="1" t="s">
        <v>28</v>
      </c>
      <c r="L405" t="s">
        <v>62</v>
      </c>
      <c r="M405" s="1" t="s">
        <v>38</v>
      </c>
      <c r="N405" s="1">
        <v>2017</v>
      </c>
      <c r="O405" t="str" cm="1">
        <f t="array" ref="O405">_xlfn.IFS(OR($K405="Ghana", $K405="Nigeria"), "Anglophone", OR($K405="Togo", $K405="Benin", $K405="Senegal"), "Francophone")</f>
        <v>Francophone</v>
      </c>
      <c r="P405" s="1" t="str">
        <f>LEFT(Int_breweries[[#This Row],[MONTHS]], 3)</f>
        <v>Aug</v>
      </c>
    </row>
    <row r="406" spans="1:16" ht="12.5" x14ac:dyDescent="0.25">
      <c r="A406" s="1">
        <v>10505</v>
      </c>
      <c r="B406" s="1" t="s">
        <v>39</v>
      </c>
      <c r="C406" s="1" t="s">
        <v>40</v>
      </c>
      <c r="D406" t="s">
        <v>68</v>
      </c>
      <c r="E406" s="1">
        <v>80</v>
      </c>
      <c r="F406" s="1">
        <v>150</v>
      </c>
      <c r="G406" s="1">
        <v>741</v>
      </c>
      <c r="H406" s="1">
        <f>Int_breweries[[#This Row],[PLANT_COST]]*Int_breweries[[#This Row],[QUANTITY]]</f>
        <v>59280</v>
      </c>
      <c r="I406" s="1">
        <v>111150</v>
      </c>
      <c r="J406" s="1">
        <v>51870</v>
      </c>
      <c r="K406" s="1" t="s">
        <v>32</v>
      </c>
      <c r="L406" t="s">
        <v>15</v>
      </c>
      <c r="M406" s="1" t="s">
        <v>41</v>
      </c>
      <c r="N406" s="1">
        <v>2017</v>
      </c>
      <c r="O406" t="str" cm="1">
        <f t="array" ref="O406">_xlfn.IFS(OR($K406="Ghana", $K406="Nigeria"), "Anglophone", OR($K406="Togo", $K406="Benin", $K406="Senegal"), "Francophone")</f>
        <v>Francophone</v>
      </c>
      <c r="P406" s="1" t="str">
        <f>LEFT(Int_breweries[[#This Row],[MONTHS]], 3)</f>
        <v>Sep</v>
      </c>
    </row>
    <row r="407" spans="1:16" ht="12.5" x14ac:dyDescent="0.25">
      <c r="A407" s="1">
        <v>10506</v>
      </c>
      <c r="B407" s="1" t="s">
        <v>51</v>
      </c>
      <c r="C407" s="1" t="s">
        <v>52</v>
      </c>
      <c r="D407" t="s">
        <v>69</v>
      </c>
      <c r="E407" s="1">
        <v>90</v>
      </c>
      <c r="F407" s="1">
        <v>150</v>
      </c>
      <c r="G407" s="1">
        <v>982</v>
      </c>
      <c r="H407" s="1">
        <f>Int_breweries[[#This Row],[PLANT_COST]]*Int_breweries[[#This Row],[QUANTITY]]</f>
        <v>88380</v>
      </c>
      <c r="I407" s="1">
        <v>147300</v>
      </c>
      <c r="J407" s="1">
        <v>58920</v>
      </c>
      <c r="K407" s="1" t="s">
        <v>14</v>
      </c>
      <c r="L407" t="s">
        <v>58</v>
      </c>
      <c r="M407" s="1" t="s">
        <v>44</v>
      </c>
      <c r="N407" s="1">
        <v>2019</v>
      </c>
      <c r="O407" t="str" cm="1">
        <f t="array" ref="O407">_xlfn.IFS(OR($K407="Ghana", $K407="Nigeria"), "Anglophone", OR($K407="Togo", $K407="Benin", $K407="Senegal"), "Francophone")</f>
        <v>Anglophone</v>
      </c>
      <c r="P407" s="1" t="str">
        <f>LEFT(Int_breweries[[#This Row],[MONTHS]], 3)</f>
        <v>Oct</v>
      </c>
    </row>
    <row r="408" spans="1:16" ht="12.5" x14ac:dyDescent="0.25">
      <c r="A408" s="1">
        <v>10507</v>
      </c>
      <c r="B408" s="1" t="s">
        <v>22</v>
      </c>
      <c r="C408" s="1" t="s">
        <v>23</v>
      </c>
      <c r="D408" t="s">
        <v>63</v>
      </c>
      <c r="E408" s="1">
        <v>150</v>
      </c>
      <c r="F408" s="1">
        <v>200</v>
      </c>
      <c r="G408" s="1">
        <v>724</v>
      </c>
      <c r="H408" s="1">
        <f>Int_breweries[[#This Row],[PLANT_COST]]*Int_breweries[[#This Row],[QUANTITY]]</f>
        <v>108600</v>
      </c>
      <c r="I408" s="1">
        <v>144800</v>
      </c>
      <c r="J408" s="1">
        <v>36200</v>
      </c>
      <c r="K408" s="1" t="s">
        <v>19</v>
      </c>
      <c r="L408" t="s">
        <v>59</v>
      </c>
      <c r="M408" s="1" t="s">
        <v>47</v>
      </c>
      <c r="N408" s="1">
        <v>2019</v>
      </c>
      <c r="O408" t="str" cm="1">
        <f t="array" ref="O408">_xlfn.IFS(OR($K408="Ghana", $K408="Nigeria"), "Anglophone", OR($K408="Togo", $K408="Benin", $K408="Senegal"), "Francophone")</f>
        <v>Anglophone</v>
      </c>
      <c r="P408" s="1" t="str">
        <f>LEFT(Int_breweries[[#This Row],[MONTHS]], 3)</f>
        <v>Nov</v>
      </c>
    </row>
    <row r="409" spans="1:16" ht="12.5" x14ac:dyDescent="0.25">
      <c r="A409" s="1">
        <v>10508</v>
      </c>
      <c r="B409" s="1" t="s">
        <v>17</v>
      </c>
      <c r="C409" s="1" t="s">
        <v>18</v>
      </c>
      <c r="D409" t="s">
        <v>64</v>
      </c>
      <c r="E409" s="1">
        <v>250</v>
      </c>
      <c r="F409" s="1">
        <v>500</v>
      </c>
      <c r="G409" s="1">
        <v>906</v>
      </c>
      <c r="H409" s="1">
        <f>Int_breweries[[#This Row],[PLANT_COST]]*Int_breweries[[#This Row],[QUANTITY]]</f>
        <v>226500</v>
      </c>
      <c r="I409" s="1">
        <v>453000</v>
      </c>
      <c r="J409" s="1">
        <v>226500</v>
      </c>
      <c r="K409" s="1" t="s">
        <v>24</v>
      </c>
      <c r="L409" t="s">
        <v>60</v>
      </c>
      <c r="M409" s="1" t="s">
        <v>48</v>
      </c>
      <c r="N409" s="1">
        <v>2018</v>
      </c>
      <c r="O409" t="str" cm="1">
        <f t="array" ref="O409">_xlfn.IFS(OR($K409="Ghana", $K409="Nigeria"), "Anglophone", OR($K409="Togo", $K409="Benin", $K409="Senegal"), "Francophone")</f>
        <v>Francophone</v>
      </c>
      <c r="P409" s="1" t="str">
        <f>LEFT(Int_breweries[[#This Row],[MONTHS]], 3)</f>
        <v>Dec</v>
      </c>
    </row>
    <row r="410" spans="1:16" ht="12.5" x14ac:dyDescent="0.25">
      <c r="A410" s="1">
        <v>10509</v>
      </c>
      <c r="B410" s="1" t="s">
        <v>22</v>
      </c>
      <c r="C410" s="1" t="s">
        <v>23</v>
      </c>
      <c r="D410" t="s">
        <v>65</v>
      </c>
      <c r="E410" s="1">
        <v>180</v>
      </c>
      <c r="F410" s="1">
        <v>450</v>
      </c>
      <c r="G410" s="1">
        <v>907</v>
      </c>
      <c r="H410" s="1">
        <f>Int_breweries[[#This Row],[PLANT_COST]]*Int_breweries[[#This Row],[QUANTITY]]</f>
        <v>163260</v>
      </c>
      <c r="I410" s="1">
        <v>408150</v>
      </c>
      <c r="J410" s="1">
        <v>244890</v>
      </c>
      <c r="K410" s="1" t="s">
        <v>28</v>
      </c>
      <c r="L410" t="s">
        <v>61</v>
      </c>
      <c r="M410" s="1" t="s">
        <v>16</v>
      </c>
      <c r="N410" s="1">
        <v>2018</v>
      </c>
      <c r="O410" t="str" cm="1">
        <f t="array" ref="O410">_xlfn.IFS(OR($K410="Ghana", $K410="Nigeria"), "Anglophone", OR($K410="Togo", $K410="Benin", $K410="Senegal"), "Francophone")</f>
        <v>Francophone</v>
      </c>
      <c r="P410" s="1" t="str">
        <f>LEFT(Int_breweries[[#This Row],[MONTHS]], 3)</f>
        <v>Jan</v>
      </c>
    </row>
    <row r="411" spans="1:16" ht="12.5" x14ac:dyDescent="0.25">
      <c r="A411" s="1">
        <v>10510</v>
      </c>
      <c r="B411" s="1" t="s">
        <v>35</v>
      </c>
      <c r="C411" s="1" t="s">
        <v>36</v>
      </c>
      <c r="D411" t="s">
        <v>66</v>
      </c>
      <c r="E411" s="1">
        <v>170</v>
      </c>
      <c r="F411" s="1">
        <v>250</v>
      </c>
      <c r="G411" s="1">
        <v>712</v>
      </c>
      <c r="H411" s="1">
        <f>Int_breweries[[#This Row],[PLANT_COST]]*Int_breweries[[#This Row],[QUANTITY]]</f>
        <v>121040</v>
      </c>
      <c r="I411" s="1">
        <v>178000</v>
      </c>
      <c r="J411" s="1">
        <v>56960</v>
      </c>
      <c r="K411" s="1" t="s">
        <v>32</v>
      </c>
      <c r="L411" t="s">
        <v>62</v>
      </c>
      <c r="M411" s="1" t="s">
        <v>21</v>
      </c>
      <c r="N411" s="1">
        <v>2019</v>
      </c>
      <c r="O411" t="str" cm="1">
        <f t="array" ref="O411">_xlfn.IFS(OR($K411="Ghana", $K411="Nigeria"), "Anglophone", OR($K411="Togo", $K411="Benin", $K411="Senegal"), "Francophone")</f>
        <v>Francophone</v>
      </c>
      <c r="P411" s="1" t="str">
        <f>LEFT(Int_breweries[[#This Row],[MONTHS]], 3)</f>
        <v>Feb</v>
      </c>
    </row>
    <row r="412" spans="1:16" ht="12.5" x14ac:dyDescent="0.25">
      <c r="A412" s="1">
        <v>10511</v>
      </c>
      <c r="B412" s="1" t="s">
        <v>30</v>
      </c>
      <c r="C412" s="1" t="s">
        <v>31</v>
      </c>
      <c r="D412" t="s">
        <v>67</v>
      </c>
      <c r="E412" s="1">
        <v>150</v>
      </c>
      <c r="F412" s="1">
        <v>200</v>
      </c>
      <c r="G412" s="1">
        <v>859</v>
      </c>
      <c r="H412" s="1">
        <f>Int_breweries[[#This Row],[PLANT_COST]]*Int_breweries[[#This Row],[QUANTITY]]</f>
        <v>128850</v>
      </c>
      <c r="I412" s="1">
        <v>171800</v>
      </c>
      <c r="J412" s="1">
        <v>42950</v>
      </c>
      <c r="K412" s="1" t="s">
        <v>14</v>
      </c>
      <c r="L412" t="s">
        <v>15</v>
      </c>
      <c r="M412" s="1" t="s">
        <v>25</v>
      </c>
      <c r="N412" s="1">
        <v>2018</v>
      </c>
      <c r="O412" t="str" cm="1">
        <f t="array" ref="O412">_xlfn.IFS(OR($K412="Ghana", $K412="Nigeria"), "Anglophone", OR($K412="Togo", $K412="Benin", $K412="Senegal"), "Francophone")</f>
        <v>Anglophone</v>
      </c>
      <c r="P412" s="1" t="str">
        <f>LEFT(Int_breweries[[#This Row],[MONTHS]], 3)</f>
        <v>Mar</v>
      </c>
    </row>
    <row r="413" spans="1:16" ht="12.5" x14ac:dyDescent="0.25">
      <c r="A413" s="1">
        <v>10512</v>
      </c>
      <c r="B413" s="1" t="s">
        <v>12</v>
      </c>
      <c r="C413" s="1" t="s">
        <v>13</v>
      </c>
      <c r="D413" t="s">
        <v>68</v>
      </c>
      <c r="E413" s="1">
        <v>80</v>
      </c>
      <c r="F413" s="1">
        <v>150</v>
      </c>
      <c r="G413" s="1">
        <v>770</v>
      </c>
      <c r="H413" s="1">
        <f>Int_breweries[[#This Row],[PLANT_COST]]*Int_breweries[[#This Row],[QUANTITY]]</f>
        <v>61600</v>
      </c>
      <c r="I413" s="1">
        <v>115500</v>
      </c>
      <c r="J413" s="1">
        <v>53900</v>
      </c>
      <c r="K413" s="1" t="s">
        <v>19</v>
      </c>
      <c r="L413" t="s">
        <v>58</v>
      </c>
      <c r="M413" s="1" t="s">
        <v>29</v>
      </c>
      <c r="N413" s="1">
        <v>2018</v>
      </c>
      <c r="O413" t="str" cm="1">
        <f t="array" ref="O413">_xlfn.IFS(OR($K413="Ghana", $K413="Nigeria"), "Anglophone", OR($K413="Togo", $K413="Benin", $K413="Senegal"), "Francophone")</f>
        <v>Anglophone</v>
      </c>
      <c r="P413" s="1" t="str">
        <f>LEFT(Int_breweries[[#This Row],[MONTHS]], 3)</f>
        <v>Apr</v>
      </c>
    </row>
    <row r="414" spans="1:16" ht="12.5" x14ac:dyDescent="0.25">
      <c r="A414" s="1">
        <v>10513</v>
      </c>
      <c r="B414" s="1" t="s">
        <v>12</v>
      </c>
      <c r="C414" s="1" t="s">
        <v>13</v>
      </c>
      <c r="D414" t="s">
        <v>69</v>
      </c>
      <c r="E414" s="1">
        <v>90</v>
      </c>
      <c r="F414" s="1">
        <v>150</v>
      </c>
      <c r="G414" s="1">
        <v>775</v>
      </c>
      <c r="H414" s="1">
        <f>Int_breweries[[#This Row],[PLANT_COST]]*Int_breweries[[#This Row],[QUANTITY]]</f>
        <v>69750</v>
      </c>
      <c r="I414" s="1">
        <v>116250</v>
      </c>
      <c r="J414" s="1">
        <v>46500</v>
      </c>
      <c r="K414" s="1" t="s">
        <v>24</v>
      </c>
      <c r="L414" t="s">
        <v>59</v>
      </c>
      <c r="M414" s="1" t="s">
        <v>33</v>
      </c>
      <c r="N414" s="1">
        <v>2019</v>
      </c>
      <c r="O414" t="str" cm="1">
        <f t="array" ref="O414">_xlfn.IFS(OR($K414="Ghana", $K414="Nigeria"), "Anglophone", OR($K414="Togo", $K414="Benin", $K414="Senegal"), "Francophone")</f>
        <v>Francophone</v>
      </c>
      <c r="P414" s="1" t="str">
        <f>LEFT(Int_breweries[[#This Row],[MONTHS]], 3)</f>
        <v>May</v>
      </c>
    </row>
    <row r="415" spans="1:16" ht="12.5" x14ac:dyDescent="0.25">
      <c r="A415" s="1">
        <v>10514</v>
      </c>
      <c r="B415" s="1" t="s">
        <v>30</v>
      </c>
      <c r="C415" s="1" t="s">
        <v>31</v>
      </c>
      <c r="D415" t="s">
        <v>63</v>
      </c>
      <c r="E415" s="1">
        <v>150</v>
      </c>
      <c r="F415" s="1">
        <v>200</v>
      </c>
      <c r="G415" s="1">
        <v>820</v>
      </c>
      <c r="H415" s="1">
        <f>Int_breweries[[#This Row],[PLANT_COST]]*Int_breweries[[#This Row],[QUANTITY]]</f>
        <v>123000</v>
      </c>
      <c r="I415" s="1">
        <v>164000</v>
      </c>
      <c r="J415" s="1">
        <v>41000</v>
      </c>
      <c r="K415" s="1" t="s">
        <v>28</v>
      </c>
      <c r="L415" t="s">
        <v>60</v>
      </c>
      <c r="M415" s="1" t="s">
        <v>34</v>
      </c>
      <c r="N415" s="1">
        <v>2019</v>
      </c>
      <c r="O415" t="str" cm="1">
        <f t="array" ref="O415">_xlfn.IFS(OR($K415="Ghana", $K415="Nigeria"), "Anglophone", OR($K415="Togo", $K415="Benin", $K415="Senegal"), "Francophone")</f>
        <v>Francophone</v>
      </c>
      <c r="P415" s="1" t="str">
        <f>LEFT(Int_breweries[[#This Row],[MONTHS]], 3)</f>
        <v>Jun</v>
      </c>
    </row>
    <row r="416" spans="1:16" ht="12.5" x14ac:dyDescent="0.25">
      <c r="A416" s="1">
        <v>10515</v>
      </c>
      <c r="B416" s="1" t="s">
        <v>12</v>
      </c>
      <c r="C416" s="1" t="s">
        <v>13</v>
      </c>
      <c r="D416" t="s">
        <v>64</v>
      </c>
      <c r="E416" s="1">
        <v>250</v>
      </c>
      <c r="F416" s="1">
        <v>500</v>
      </c>
      <c r="G416" s="1">
        <v>833</v>
      </c>
      <c r="H416" s="1">
        <f>Int_breweries[[#This Row],[PLANT_COST]]*Int_breweries[[#This Row],[QUANTITY]]</f>
        <v>208250</v>
      </c>
      <c r="I416" s="1">
        <v>416500</v>
      </c>
      <c r="J416" s="1">
        <v>208250</v>
      </c>
      <c r="K416" s="1" t="s">
        <v>32</v>
      </c>
      <c r="L416" t="s">
        <v>61</v>
      </c>
      <c r="M416" s="1" t="s">
        <v>37</v>
      </c>
      <c r="N416" s="1">
        <v>2018</v>
      </c>
      <c r="O416" t="str" cm="1">
        <f t="array" ref="O416">_xlfn.IFS(OR($K416="Ghana", $K416="Nigeria"), "Anglophone", OR($K416="Togo", $K416="Benin", $K416="Senegal"), "Francophone")</f>
        <v>Francophone</v>
      </c>
      <c r="P416" s="1" t="str">
        <f>LEFT(Int_breweries[[#This Row],[MONTHS]], 3)</f>
        <v>Jul</v>
      </c>
    </row>
    <row r="417" spans="1:16" ht="12.5" x14ac:dyDescent="0.25">
      <c r="A417" s="1">
        <v>10516</v>
      </c>
      <c r="B417" s="1" t="s">
        <v>17</v>
      </c>
      <c r="C417" s="1" t="s">
        <v>18</v>
      </c>
      <c r="D417" t="s">
        <v>65</v>
      </c>
      <c r="E417" s="1">
        <v>180</v>
      </c>
      <c r="F417" s="1">
        <v>450</v>
      </c>
      <c r="G417" s="1">
        <v>735</v>
      </c>
      <c r="H417" s="1">
        <f>Int_breweries[[#This Row],[PLANT_COST]]*Int_breweries[[#This Row],[QUANTITY]]</f>
        <v>132300</v>
      </c>
      <c r="I417" s="1">
        <v>330750</v>
      </c>
      <c r="J417" s="1">
        <v>198450</v>
      </c>
      <c r="K417" s="1" t="s">
        <v>14</v>
      </c>
      <c r="L417" t="s">
        <v>62</v>
      </c>
      <c r="M417" s="1" t="s">
        <v>38</v>
      </c>
      <c r="N417" s="1">
        <v>2017</v>
      </c>
      <c r="O417" t="str" cm="1">
        <f t="array" ref="O417">_xlfn.IFS(OR($K417="Ghana", $K417="Nigeria"), "Anglophone", OR($K417="Togo", $K417="Benin", $K417="Senegal"), "Francophone")</f>
        <v>Anglophone</v>
      </c>
      <c r="P417" s="1" t="str">
        <f>LEFT(Int_breweries[[#This Row],[MONTHS]], 3)</f>
        <v>Aug</v>
      </c>
    </row>
    <row r="418" spans="1:16" ht="12.5" x14ac:dyDescent="0.25">
      <c r="A418" s="1">
        <v>10517</v>
      </c>
      <c r="B418" s="1" t="s">
        <v>22</v>
      </c>
      <c r="C418" s="1" t="s">
        <v>23</v>
      </c>
      <c r="D418" t="s">
        <v>66</v>
      </c>
      <c r="E418" s="1">
        <v>170</v>
      </c>
      <c r="F418" s="1">
        <v>250</v>
      </c>
      <c r="G418" s="1">
        <v>884</v>
      </c>
      <c r="H418" s="1">
        <f>Int_breweries[[#This Row],[PLANT_COST]]*Int_breweries[[#This Row],[QUANTITY]]</f>
        <v>150280</v>
      </c>
      <c r="I418" s="1">
        <v>221000</v>
      </c>
      <c r="J418" s="1">
        <v>70720</v>
      </c>
      <c r="K418" s="1" t="s">
        <v>19</v>
      </c>
      <c r="L418" t="s">
        <v>15</v>
      </c>
      <c r="M418" s="1" t="s">
        <v>41</v>
      </c>
      <c r="N418" s="1">
        <v>2017</v>
      </c>
      <c r="O418" t="str" cm="1">
        <f t="array" ref="O418">_xlfn.IFS(OR($K418="Ghana", $K418="Nigeria"), "Anglophone", OR($K418="Togo", $K418="Benin", $K418="Senegal"), "Francophone")</f>
        <v>Anglophone</v>
      </c>
      <c r="P418" s="1" t="str">
        <f>LEFT(Int_breweries[[#This Row],[MONTHS]], 3)</f>
        <v>Sep</v>
      </c>
    </row>
    <row r="419" spans="1:16" ht="12.5" x14ac:dyDescent="0.25">
      <c r="A419" s="1">
        <v>10518</v>
      </c>
      <c r="B419" s="1" t="s">
        <v>26</v>
      </c>
      <c r="C419" s="1" t="s">
        <v>27</v>
      </c>
      <c r="D419" t="s">
        <v>67</v>
      </c>
      <c r="E419" s="1">
        <v>150</v>
      </c>
      <c r="F419" s="1">
        <v>200</v>
      </c>
      <c r="G419" s="1">
        <v>888</v>
      </c>
      <c r="H419" s="1">
        <f>Int_breweries[[#This Row],[PLANT_COST]]*Int_breweries[[#This Row],[QUANTITY]]</f>
        <v>133200</v>
      </c>
      <c r="I419" s="1">
        <v>177600</v>
      </c>
      <c r="J419" s="1">
        <v>44400</v>
      </c>
      <c r="K419" s="1" t="s">
        <v>24</v>
      </c>
      <c r="L419" t="s">
        <v>58</v>
      </c>
      <c r="M419" s="1" t="s">
        <v>44</v>
      </c>
      <c r="N419" s="1">
        <v>2019</v>
      </c>
      <c r="O419" t="str" cm="1">
        <f t="array" ref="O419">_xlfn.IFS(OR($K419="Ghana", $K419="Nigeria"), "Anglophone", OR($K419="Togo", $K419="Benin", $K419="Senegal"), "Francophone")</f>
        <v>Francophone</v>
      </c>
      <c r="P419" s="1" t="str">
        <f>LEFT(Int_breweries[[#This Row],[MONTHS]], 3)</f>
        <v>Oct</v>
      </c>
    </row>
    <row r="420" spans="1:16" ht="12.5" x14ac:dyDescent="0.25">
      <c r="A420" s="1">
        <v>10519</v>
      </c>
      <c r="B420" s="1" t="s">
        <v>30</v>
      </c>
      <c r="C420" s="1" t="s">
        <v>31</v>
      </c>
      <c r="D420" t="s">
        <v>68</v>
      </c>
      <c r="E420" s="1">
        <v>80</v>
      </c>
      <c r="F420" s="1">
        <v>150</v>
      </c>
      <c r="G420" s="1">
        <v>756</v>
      </c>
      <c r="H420" s="1">
        <f>Int_breweries[[#This Row],[PLANT_COST]]*Int_breweries[[#This Row],[QUANTITY]]</f>
        <v>60480</v>
      </c>
      <c r="I420" s="1">
        <v>113400</v>
      </c>
      <c r="J420" s="1">
        <v>52920</v>
      </c>
      <c r="K420" s="1" t="s">
        <v>28</v>
      </c>
      <c r="L420" t="s">
        <v>59</v>
      </c>
      <c r="M420" s="1" t="s">
        <v>47</v>
      </c>
      <c r="N420" s="1">
        <v>2017</v>
      </c>
      <c r="O420" t="str" cm="1">
        <f t="array" ref="O420">_xlfn.IFS(OR($K420="Ghana", $K420="Nigeria"), "Anglophone", OR($K420="Togo", $K420="Benin", $K420="Senegal"), "Francophone")</f>
        <v>Francophone</v>
      </c>
      <c r="P420" s="1" t="str">
        <f>LEFT(Int_breweries[[#This Row],[MONTHS]], 3)</f>
        <v>Nov</v>
      </c>
    </row>
    <row r="421" spans="1:16" ht="12.5" x14ac:dyDescent="0.25">
      <c r="A421" s="1">
        <v>10520</v>
      </c>
      <c r="B421" s="1" t="s">
        <v>12</v>
      </c>
      <c r="C421" s="1" t="s">
        <v>13</v>
      </c>
      <c r="D421" t="s">
        <v>69</v>
      </c>
      <c r="E421" s="1">
        <v>90</v>
      </c>
      <c r="F421" s="1">
        <v>150</v>
      </c>
      <c r="G421" s="1">
        <v>787</v>
      </c>
      <c r="H421" s="1">
        <f>Int_breweries[[#This Row],[PLANT_COST]]*Int_breweries[[#This Row],[QUANTITY]]</f>
        <v>70830</v>
      </c>
      <c r="I421" s="1">
        <v>118050</v>
      </c>
      <c r="J421" s="1">
        <v>47220</v>
      </c>
      <c r="K421" s="1" t="s">
        <v>32</v>
      </c>
      <c r="L421" t="s">
        <v>60</v>
      </c>
      <c r="M421" s="1" t="s">
        <v>48</v>
      </c>
      <c r="N421" s="1">
        <v>2019</v>
      </c>
      <c r="O421" t="str" cm="1">
        <f t="array" ref="O421">_xlfn.IFS(OR($K421="Ghana", $K421="Nigeria"), "Anglophone", OR($K421="Togo", $K421="Benin", $K421="Senegal"), "Francophone")</f>
        <v>Francophone</v>
      </c>
      <c r="P421" s="1" t="str">
        <f>LEFT(Int_breweries[[#This Row],[MONTHS]], 3)</f>
        <v>Dec</v>
      </c>
    </row>
    <row r="422" spans="1:16" ht="12.5" x14ac:dyDescent="0.25">
      <c r="A422" s="1">
        <v>10521</v>
      </c>
      <c r="B422" s="1" t="s">
        <v>35</v>
      </c>
      <c r="C422" s="1" t="s">
        <v>36</v>
      </c>
      <c r="D422" t="s">
        <v>63</v>
      </c>
      <c r="E422" s="1">
        <v>150</v>
      </c>
      <c r="F422" s="1">
        <v>200</v>
      </c>
      <c r="G422" s="1">
        <v>804</v>
      </c>
      <c r="H422" s="1">
        <f>Int_breweries[[#This Row],[PLANT_COST]]*Int_breweries[[#This Row],[QUANTITY]]</f>
        <v>120600</v>
      </c>
      <c r="I422" s="1">
        <v>160800</v>
      </c>
      <c r="J422" s="1">
        <v>40200</v>
      </c>
      <c r="K422" s="1" t="s">
        <v>14</v>
      </c>
      <c r="L422" t="s">
        <v>61</v>
      </c>
      <c r="M422" s="1" t="s">
        <v>16</v>
      </c>
      <c r="N422" s="1">
        <v>2018</v>
      </c>
      <c r="O422" t="str" cm="1">
        <f t="array" ref="O422">_xlfn.IFS(OR($K422="Ghana", $K422="Nigeria"), "Anglophone", OR($K422="Togo", $K422="Benin", $K422="Senegal"), "Francophone")</f>
        <v>Anglophone</v>
      </c>
      <c r="P422" s="1" t="str">
        <f>LEFT(Int_breweries[[#This Row],[MONTHS]], 3)</f>
        <v>Jan</v>
      </c>
    </row>
    <row r="423" spans="1:16" ht="12.5" x14ac:dyDescent="0.25">
      <c r="A423" s="1">
        <v>10522</v>
      </c>
      <c r="B423" s="1" t="s">
        <v>26</v>
      </c>
      <c r="C423" s="1" t="s">
        <v>27</v>
      </c>
      <c r="D423" t="s">
        <v>64</v>
      </c>
      <c r="E423" s="1">
        <v>250</v>
      </c>
      <c r="F423" s="1">
        <v>500</v>
      </c>
      <c r="G423" s="1">
        <v>986</v>
      </c>
      <c r="H423" s="1">
        <f>Int_breweries[[#This Row],[PLANT_COST]]*Int_breweries[[#This Row],[QUANTITY]]</f>
        <v>246500</v>
      </c>
      <c r="I423" s="1">
        <v>493000</v>
      </c>
      <c r="J423" s="1">
        <v>246500</v>
      </c>
      <c r="K423" s="1" t="s">
        <v>19</v>
      </c>
      <c r="L423" t="s">
        <v>62</v>
      </c>
      <c r="M423" s="1" t="s">
        <v>21</v>
      </c>
      <c r="N423" s="1">
        <v>2018</v>
      </c>
      <c r="O423" t="str" cm="1">
        <f t="array" ref="O423">_xlfn.IFS(OR($K423="Ghana", $K423="Nigeria"), "Anglophone", OR($K423="Togo", $K423="Benin", $K423="Senegal"), "Francophone")</f>
        <v>Anglophone</v>
      </c>
      <c r="P423" s="1" t="str">
        <f>LEFT(Int_breweries[[#This Row],[MONTHS]], 3)</f>
        <v>Feb</v>
      </c>
    </row>
    <row r="424" spans="1:16" ht="12.5" x14ac:dyDescent="0.25">
      <c r="A424" s="1">
        <v>10523</v>
      </c>
      <c r="B424" s="1" t="s">
        <v>39</v>
      </c>
      <c r="C424" s="1" t="s">
        <v>40</v>
      </c>
      <c r="D424" t="s">
        <v>65</v>
      </c>
      <c r="E424" s="1">
        <v>180</v>
      </c>
      <c r="F424" s="1">
        <v>450</v>
      </c>
      <c r="G424" s="1">
        <v>856</v>
      </c>
      <c r="H424" s="1">
        <f>Int_breweries[[#This Row],[PLANT_COST]]*Int_breweries[[#This Row],[QUANTITY]]</f>
        <v>154080</v>
      </c>
      <c r="I424" s="1">
        <v>385200</v>
      </c>
      <c r="J424" s="1">
        <v>231120</v>
      </c>
      <c r="K424" s="1" t="s">
        <v>24</v>
      </c>
      <c r="L424" t="s">
        <v>15</v>
      </c>
      <c r="M424" s="1" t="s">
        <v>25</v>
      </c>
      <c r="N424" s="1">
        <v>2018</v>
      </c>
      <c r="O424" t="str" cm="1">
        <f t="array" ref="O424">_xlfn.IFS(OR($K424="Ghana", $K424="Nigeria"), "Anglophone", OR($K424="Togo", $K424="Benin", $K424="Senegal"), "Francophone")</f>
        <v>Francophone</v>
      </c>
      <c r="P424" s="1" t="str">
        <f>LEFT(Int_breweries[[#This Row],[MONTHS]], 3)</f>
        <v>Mar</v>
      </c>
    </row>
    <row r="425" spans="1:16" ht="12.5" x14ac:dyDescent="0.25">
      <c r="A425" s="1">
        <v>10524</v>
      </c>
      <c r="B425" s="1" t="s">
        <v>42</v>
      </c>
      <c r="C425" s="1" t="s">
        <v>43</v>
      </c>
      <c r="D425" t="s">
        <v>66</v>
      </c>
      <c r="E425" s="1">
        <v>170</v>
      </c>
      <c r="F425" s="1">
        <v>250</v>
      </c>
      <c r="G425" s="1">
        <v>835</v>
      </c>
      <c r="H425" s="1">
        <f>Int_breweries[[#This Row],[PLANT_COST]]*Int_breweries[[#This Row],[QUANTITY]]</f>
        <v>141950</v>
      </c>
      <c r="I425" s="1">
        <v>208750</v>
      </c>
      <c r="J425" s="1">
        <v>66800</v>
      </c>
      <c r="K425" s="1" t="s">
        <v>28</v>
      </c>
      <c r="L425" t="s">
        <v>58</v>
      </c>
      <c r="M425" s="1" t="s">
        <v>29</v>
      </c>
      <c r="N425" s="1">
        <v>2018</v>
      </c>
      <c r="O425" t="str" cm="1">
        <f t="array" ref="O425">_xlfn.IFS(OR($K425="Ghana", $K425="Nigeria"), "Anglophone", OR($K425="Togo", $K425="Benin", $K425="Senegal"), "Francophone")</f>
        <v>Francophone</v>
      </c>
      <c r="P425" s="1" t="str">
        <f>LEFT(Int_breweries[[#This Row],[MONTHS]], 3)</f>
        <v>Apr</v>
      </c>
    </row>
    <row r="426" spans="1:16" ht="12.5" x14ac:dyDescent="0.25">
      <c r="A426" s="1">
        <v>10525</v>
      </c>
      <c r="B426" s="1" t="s">
        <v>45</v>
      </c>
      <c r="C426" s="1" t="s">
        <v>46</v>
      </c>
      <c r="D426" t="s">
        <v>67</v>
      </c>
      <c r="E426" s="1">
        <v>150</v>
      </c>
      <c r="F426" s="1">
        <v>200</v>
      </c>
      <c r="G426" s="1">
        <v>938</v>
      </c>
      <c r="H426" s="1">
        <f>Int_breweries[[#This Row],[PLANT_COST]]*Int_breweries[[#This Row],[QUANTITY]]</f>
        <v>140700</v>
      </c>
      <c r="I426" s="1">
        <v>187600</v>
      </c>
      <c r="J426" s="1">
        <v>46900</v>
      </c>
      <c r="K426" s="1" t="s">
        <v>32</v>
      </c>
      <c r="L426" t="s">
        <v>59</v>
      </c>
      <c r="M426" s="1" t="s">
        <v>33</v>
      </c>
      <c r="N426" s="1">
        <v>2018</v>
      </c>
      <c r="O426" t="str" cm="1">
        <f t="array" ref="O426">_xlfn.IFS(OR($K426="Ghana", $K426="Nigeria"), "Anglophone", OR($K426="Togo", $K426="Benin", $K426="Senegal"), "Francophone")</f>
        <v>Francophone</v>
      </c>
      <c r="P426" s="1" t="str">
        <f>LEFT(Int_breweries[[#This Row],[MONTHS]], 3)</f>
        <v>May</v>
      </c>
    </row>
    <row r="427" spans="1:16" ht="12.5" x14ac:dyDescent="0.25">
      <c r="A427" s="1">
        <v>10526</v>
      </c>
      <c r="B427" s="1" t="s">
        <v>26</v>
      </c>
      <c r="C427" s="1" t="s">
        <v>27</v>
      </c>
      <c r="D427" t="s">
        <v>68</v>
      </c>
      <c r="E427" s="1">
        <v>80</v>
      </c>
      <c r="F427" s="1">
        <v>150</v>
      </c>
      <c r="G427" s="1">
        <v>719</v>
      </c>
      <c r="H427" s="1">
        <f>Int_breweries[[#This Row],[PLANT_COST]]*Int_breweries[[#This Row],[QUANTITY]]</f>
        <v>57520</v>
      </c>
      <c r="I427" s="1">
        <v>107850</v>
      </c>
      <c r="J427" s="1">
        <v>50330</v>
      </c>
      <c r="K427" s="1" t="s">
        <v>14</v>
      </c>
      <c r="L427" t="s">
        <v>60</v>
      </c>
      <c r="M427" s="1" t="s">
        <v>34</v>
      </c>
      <c r="N427" s="1">
        <v>2018</v>
      </c>
      <c r="O427" t="str" cm="1">
        <f t="array" ref="O427">_xlfn.IFS(OR($K427="Ghana", $K427="Nigeria"), "Anglophone", OR($K427="Togo", $K427="Benin", $K427="Senegal"), "Francophone")</f>
        <v>Anglophone</v>
      </c>
      <c r="P427" s="1" t="str">
        <f>LEFT(Int_breweries[[#This Row],[MONTHS]], 3)</f>
        <v>Jun</v>
      </c>
    </row>
    <row r="428" spans="1:16" ht="12.5" x14ac:dyDescent="0.25">
      <c r="A428" s="1">
        <v>10527</v>
      </c>
      <c r="B428" s="1" t="s">
        <v>49</v>
      </c>
      <c r="C428" s="1" t="s">
        <v>50</v>
      </c>
      <c r="D428" t="s">
        <v>69</v>
      </c>
      <c r="E428" s="1">
        <v>90</v>
      </c>
      <c r="F428" s="1">
        <v>150</v>
      </c>
      <c r="G428" s="1">
        <v>868</v>
      </c>
      <c r="H428" s="1">
        <f>Int_breweries[[#This Row],[PLANT_COST]]*Int_breweries[[#This Row],[QUANTITY]]</f>
        <v>78120</v>
      </c>
      <c r="I428" s="1">
        <v>130200</v>
      </c>
      <c r="J428" s="1">
        <v>52080</v>
      </c>
      <c r="K428" s="1" t="s">
        <v>19</v>
      </c>
      <c r="L428" t="s">
        <v>61</v>
      </c>
      <c r="M428" s="1" t="s">
        <v>37</v>
      </c>
      <c r="N428" s="1">
        <v>2017</v>
      </c>
      <c r="O428" t="str" cm="1">
        <f t="array" ref="O428">_xlfn.IFS(OR($K428="Ghana", $K428="Nigeria"), "Anglophone", OR($K428="Togo", $K428="Benin", $K428="Senegal"), "Francophone")</f>
        <v>Anglophone</v>
      </c>
      <c r="P428" s="1" t="str">
        <f>LEFT(Int_breweries[[#This Row],[MONTHS]], 3)</f>
        <v>Jul</v>
      </c>
    </row>
    <row r="429" spans="1:16" ht="12.5" x14ac:dyDescent="0.25">
      <c r="A429" s="1">
        <v>10528</v>
      </c>
      <c r="B429" s="1" t="s">
        <v>26</v>
      </c>
      <c r="C429" s="1" t="s">
        <v>27</v>
      </c>
      <c r="D429" t="s">
        <v>63</v>
      </c>
      <c r="E429" s="1">
        <v>150</v>
      </c>
      <c r="F429" s="1">
        <v>200</v>
      </c>
      <c r="G429" s="1">
        <v>885</v>
      </c>
      <c r="H429" s="1">
        <f>Int_breweries[[#This Row],[PLANT_COST]]*Int_breweries[[#This Row],[QUANTITY]]</f>
        <v>132750</v>
      </c>
      <c r="I429" s="1">
        <v>177000</v>
      </c>
      <c r="J429" s="1">
        <v>44250</v>
      </c>
      <c r="K429" s="1" t="s">
        <v>24</v>
      </c>
      <c r="L429" t="s">
        <v>62</v>
      </c>
      <c r="M429" s="1" t="s">
        <v>38</v>
      </c>
      <c r="N429" s="1">
        <v>2018</v>
      </c>
      <c r="O429" t="str" cm="1">
        <f t="array" ref="O429">_xlfn.IFS(OR($K429="Ghana", $K429="Nigeria"), "Anglophone", OR($K429="Togo", $K429="Benin", $K429="Senegal"), "Francophone")</f>
        <v>Francophone</v>
      </c>
      <c r="P429" s="1" t="str">
        <f>LEFT(Int_breweries[[#This Row],[MONTHS]], 3)</f>
        <v>Aug</v>
      </c>
    </row>
    <row r="430" spans="1:16" ht="12.5" x14ac:dyDescent="0.25">
      <c r="A430" s="1">
        <v>10529</v>
      </c>
      <c r="B430" s="1" t="s">
        <v>12</v>
      </c>
      <c r="C430" s="1" t="s">
        <v>13</v>
      </c>
      <c r="D430" t="s">
        <v>64</v>
      </c>
      <c r="E430" s="1">
        <v>250</v>
      </c>
      <c r="F430" s="1">
        <v>500</v>
      </c>
      <c r="G430" s="1">
        <v>943</v>
      </c>
      <c r="H430" s="1">
        <f>Int_breweries[[#This Row],[PLANT_COST]]*Int_breweries[[#This Row],[QUANTITY]]</f>
        <v>235750</v>
      </c>
      <c r="I430" s="1">
        <v>471500</v>
      </c>
      <c r="J430" s="1">
        <v>235750</v>
      </c>
      <c r="K430" s="1" t="s">
        <v>28</v>
      </c>
      <c r="L430" t="s">
        <v>15</v>
      </c>
      <c r="M430" s="1" t="s">
        <v>41</v>
      </c>
      <c r="N430" s="1">
        <v>2018</v>
      </c>
      <c r="O430" t="str" cm="1">
        <f t="array" ref="O430">_xlfn.IFS(OR($K430="Ghana", $K430="Nigeria"), "Anglophone", OR($K430="Togo", $K430="Benin", $K430="Senegal"), "Francophone")</f>
        <v>Francophone</v>
      </c>
      <c r="P430" s="1" t="str">
        <f>LEFT(Int_breweries[[#This Row],[MONTHS]], 3)</f>
        <v>Sep</v>
      </c>
    </row>
    <row r="431" spans="1:16" ht="12.5" x14ac:dyDescent="0.25">
      <c r="A431" s="1">
        <v>10530</v>
      </c>
      <c r="B431" s="1" t="s">
        <v>17</v>
      </c>
      <c r="C431" s="1" t="s">
        <v>18</v>
      </c>
      <c r="D431" t="s">
        <v>65</v>
      </c>
      <c r="E431" s="1">
        <v>180</v>
      </c>
      <c r="F431" s="1">
        <v>450</v>
      </c>
      <c r="G431" s="1">
        <v>900</v>
      </c>
      <c r="H431" s="1">
        <f>Int_breweries[[#This Row],[PLANT_COST]]*Int_breweries[[#This Row],[QUANTITY]]</f>
        <v>162000</v>
      </c>
      <c r="I431" s="1">
        <v>405000</v>
      </c>
      <c r="J431" s="1">
        <v>243000</v>
      </c>
      <c r="K431" s="1" t="s">
        <v>32</v>
      </c>
      <c r="L431" t="s">
        <v>58</v>
      </c>
      <c r="M431" s="1" t="s">
        <v>44</v>
      </c>
      <c r="N431" s="1">
        <v>2017</v>
      </c>
      <c r="O431" t="str" cm="1">
        <f t="array" ref="O431">_xlfn.IFS(OR($K431="Ghana", $K431="Nigeria"), "Anglophone", OR($K431="Togo", $K431="Benin", $K431="Senegal"), "Francophone")</f>
        <v>Francophone</v>
      </c>
      <c r="P431" s="1" t="str">
        <f>LEFT(Int_breweries[[#This Row],[MONTHS]], 3)</f>
        <v>Oct</v>
      </c>
    </row>
    <row r="432" spans="1:16" ht="12.5" x14ac:dyDescent="0.25">
      <c r="A432" s="1">
        <v>10531</v>
      </c>
      <c r="B432" s="1" t="s">
        <v>22</v>
      </c>
      <c r="C432" s="1" t="s">
        <v>23</v>
      </c>
      <c r="D432" t="s">
        <v>66</v>
      </c>
      <c r="E432" s="1">
        <v>170</v>
      </c>
      <c r="F432" s="1">
        <v>250</v>
      </c>
      <c r="G432" s="1">
        <v>950</v>
      </c>
      <c r="H432" s="1">
        <f>Int_breweries[[#This Row],[PLANT_COST]]*Int_breweries[[#This Row],[QUANTITY]]</f>
        <v>161500</v>
      </c>
      <c r="I432" s="1">
        <v>237500</v>
      </c>
      <c r="J432" s="1">
        <v>76000</v>
      </c>
      <c r="K432" s="1" t="s">
        <v>14</v>
      </c>
      <c r="L432" t="s">
        <v>59</v>
      </c>
      <c r="M432" s="1" t="s">
        <v>47</v>
      </c>
      <c r="N432" s="1">
        <v>2019</v>
      </c>
      <c r="O432" t="str" cm="1">
        <f t="array" ref="O432">_xlfn.IFS(OR($K432="Ghana", $K432="Nigeria"), "Anglophone", OR($K432="Togo", $K432="Benin", $K432="Senegal"), "Francophone")</f>
        <v>Anglophone</v>
      </c>
      <c r="P432" s="1" t="str">
        <f>LEFT(Int_breweries[[#This Row],[MONTHS]], 3)</f>
        <v>Nov</v>
      </c>
    </row>
    <row r="433" spans="1:16" ht="12.5" x14ac:dyDescent="0.25">
      <c r="A433" s="1">
        <v>10532</v>
      </c>
      <c r="B433" s="1" t="s">
        <v>26</v>
      </c>
      <c r="C433" s="1" t="s">
        <v>27</v>
      </c>
      <c r="D433" t="s">
        <v>67</v>
      </c>
      <c r="E433" s="1">
        <v>150</v>
      </c>
      <c r="F433" s="1">
        <v>200</v>
      </c>
      <c r="G433" s="1">
        <v>742</v>
      </c>
      <c r="H433" s="1">
        <f>Int_breweries[[#This Row],[PLANT_COST]]*Int_breweries[[#This Row],[QUANTITY]]</f>
        <v>111300</v>
      </c>
      <c r="I433" s="1">
        <v>148400</v>
      </c>
      <c r="J433" s="1">
        <v>37100</v>
      </c>
      <c r="K433" s="1" t="s">
        <v>19</v>
      </c>
      <c r="L433" t="s">
        <v>60</v>
      </c>
      <c r="M433" s="1" t="s">
        <v>48</v>
      </c>
      <c r="N433" s="1">
        <v>2017</v>
      </c>
      <c r="O433" t="str" cm="1">
        <f t="array" ref="O433">_xlfn.IFS(OR($K433="Ghana", $K433="Nigeria"), "Anglophone", OR($K433="Togo", $K433="Benin", $K433="Senegal"), "Francophone")</f>
        <v>Anglophone</v>
      </c>
      <c r="P433" s="1" t="str">
        <f>LEFT(Int_breweries[[#This Row],[MONTHS]], 3)</f>
        <v>Dec</v>
      </c>
    </row>
    <row r="434" spans="1:16" ht="12.5" x14ac:dyDescent="0.25">
      <c r="A434" s="1">
        <v>10533</v>
      </c>
      <c r="B434" s="1" t="s">
        <v>30</v>
      </c>
      <c r="C434" s="1" t="s">
        <v>31</v>
      </c>
      <c r="D434" t="s">
        <v>68</v>
      </c>
      <c r="E434" s="1">
        <v>80</v>
      </c>
      <c r="F434" s="1">
        <v>150</v>
      </c>
      <c r="G434" s="1">
        <v>889</v>
      </c>
      <c r="H434" s="1">
        <f>Int_breweries[[#This Row],[PLANT_COST]]*Int_breweries[[#This Row],[QUANTITY]]</f>
        <v>71120</v>
      </c>
      <c r="I434" s="1">
        <v>133350</v>
      </c>
      <c r="J434" s="1">
        <v>62230</v>
      </c>
      <c r="K434" s="1" t="s">
        <v>24</v>
      </c>
      <c r="L434" t="s">
        <v>61</v>
      </c>
      <c r="M434" s="1" t="s">
        <v>16</v>
      </c>
      <c r="N434" s="1">
        <v>2018</v>
      </c>
      <c r="O434" t="str" cm="1">
        <f t="array" ref="O434">_xlfn.IFS(OR($K434="Ghana", $K434="Nigeria"), "Anglophone", OR($K434="Togo", $K434="Benin", $K434="Senegal"), "Francophone")</f>
        <v>Francophone</v>
      </c>
      <c r="P434" s="1" t="str">
        <f>LEFT(Int_breweries[[#This Row],[MONTHS]], 3)</f>
        <v>Jan</v>
      </c>
    </row>
    <row r="435" spans="1:16" ht="12.5" x14ac:dyDescent="0.25">
      <c r="A435" s="1">
        <v>10534</v>
      </c>
      <c r="B435" s="1" t="s">
        <v>12</v>
      </c>
      <c r="C435" s="1" t="s">
        <v>13</v>
      </c>
      <c r="D435" t="s">
        <v>69</v>
      </c>
      <c r="E435" s="1">
        <v>90</v>
      </c>
      <c r="F435" s="1">
        <v>150</v>
      </c>
      <c r="G435" s="1">
        <v>939</v>
      </c>
      <c r="H435" s="1">
        <f>Int_breweries[[#This Row],[PLANT_COST]]*Int_breweries[[#This Row],[QUANTITY]]</f>
        <v>84510</v>
      </c>
      <c r="I435" s="1">
        <v>140850</v>
      </c>
      <c r="J435" s="1">
        <v>56340</v>
      </c>
      <c r="K435" s="1" t="s">
        <v>28</v>
      </c>
      <c r="L435" t="s">
        <v>62</v>
      </c>
      <c r="M435" s="1" t="s">
        <v>21</v>
      </c>
      <c r="N435" s="1">
        <v>2018</v>
      </c>
      <c r="O435" t="str" cm="1">
        <f t="array" ref="O435">_xlfn.IFS(OR($K435="Ghana", $K435="Nigeria"), "Anglophone", OR($K435="Togo", $K435="Benin", $K435="Senegal"), "Francophone")</f>
        <v>Francophone</v>
      </c>
      <c r="P435" s="1" t="str">
        <f>LEFT(Int_breweries[[#This Row],[MONTHS]], 3)</f>
        <v>Feb</v>
      </c>
    </row>
    <row r="436" spans="1:16" ht="12.5" x14ac:dyDescent="0.25">
      <c r="A436" s="1">
        <v>10535</v>
      </c>
      <c r="B436" s="1" t="s">
        <v>35</v>
      </c>
      <c r="C436" s="1" t="s">
        <v>36</v>
      </c>
      <c r="D436" t="s">
        <v>63</v>
      </c>
      <c r="E436" s="1">
        <v>150</v>
      </c>
      <c r="F436" s="1">
        <v>200</v>
      </c>
      <c r="G436" s="1">
        <v>950</v>
      </c>
      <c r="H436" s="1">
        <f>Int_breweries[[#This Row],[PLANT_COST]]*Int_breweries[[#This Row],[QUANTITY]]</f>
        <v>142500</v>
      </c>
      <c r="I436" s="1">
        <v>190000</v>
      </c>
      <c r="J436" s="1">
        <v>47500</v>
      </c>
      <c r="K436" s="1" t="s">
        <v>32</v>
      </c>
      <c r="L436" t="s">
        <v>15</v>
      </c>
      <c r="M436" s="1" t="s">
        <v>25</v>
      </c>
      <c r="N436" s="1">
        <v>2018</v>
      </c>
      <c r="O436" t="str" cm="1">
        <f t="array" ref="O436">_xlfn.IFS(OR($K436="Ghana", $K436="Nigeria"), "Anglophone", OR($K436="Togo", $K436="Benin", $K436="Senegal"), "Francophone")</f>
        <v>Francophone</v>
      </c>
      <c r="P436" s="1" t="str">
        <f>LEFT(Int_breweries[[#This Row],[MONTHS]], 3)</f>
        <v>Mar</v>
      </c>
    </row>
    <row r="437" spans="1:16" ht="12.5" x14ac:dyDescent="0.25">
      <c r="A437" s="1">
        <v>10536</v>
      </c>
      <c r="B437" s="1" t="s">
        <v>26</v>
      </c>
      <c r="C437" s="1" t="s">
        <v>27</v>
      </c>
      <c r="D437" t="s">
        <v>64</v>
      </c>
      <c r="E437" s="1">
        <v>250</v>
      </c>
      <c r="F437" s="1">
        <v>500</v>
      </c>
      <c r="G437" s="1">
        <v>745</v>
      </c>
      <c r="H437" s="1">
        <f>Int_breweries[[#This Row],[PLANT_COST]]*Int_breweries[[#This Row],[QUANTITY]]</f>
        <v>186250</v>
      </c>
      <c r="I437" s="1">
        <v>372500</v>
      </c>
      <c r="J437" s="1">
        <v>186250</v>
      </c>
      <c r="K437" s="1" t="s">
        <v>14</v>
      </c>
      <c r="L437" t="s">
        <v>58</v>
      </c>
      <c r="M437" s="1" t="s">
        <v>29</v>
      </c>
      <c r="N437" s="1">
        <v>2018</v>
      </c>
      <c r="O437" t="str" cm="1">
        <f t="array" ref="O437">_xlfn.IFS(OR($K437="Ghana", $K437="Nigeria"), "Anglophone", OR($K437="Togo", $K437="Benin", $K437="Senegal"), "Francophone")</f>
        <v>Anglophone</v>
      </c>
      <c r="P437" s="1" t="str">
        <f>LEFT(Int_breweries[[#This Row],[MONTHS]], 3)</f>
        <v>Apr</v>
      </c>
    </row>
    <row r="438" spans="1:16" ht="12.5" x14ac:dyDescent="0.25">
      <c r="A438" s="1">
        <v>10537</v>
      </c>
      <c r="B438" s="1" t="s">
        <v>39</v>
      </c>
      <c r="C438" s="1" t="s">
        <v>40</v>
      </c>
      <c r="D438" t="s">
        <v>65</v>
      </c>
      <c r="E438" s="1">
        <v>180</v>
      </c>
      <c r="F438" s="1">
        <v>450</v>
      </c>
      <c r="G438" s="1">
        <v>933</v>
      </c>
      <c r="H438" s="1">
        <f>Int_breweries[[#This Row],[PLANT_COST]]*Int_breweries[[#This Row],[QUANTITY]]</f>
        <v>167940</v>
      </c>
      <c r="I438" s="1">
        <v>419850</v>
      </c>
      <c r="J438" s="1">
        <v>251910</v>
      </c>
      <c r="K438" s="1" t="s">
        <v>19</v>
      </c>
      <c r="L438" t="s">
        <v>59</v>
      </c>
      <c r="M438" s="1" t="s">
        <v>33</v>
      </c>
      <c r="N438" s="1">
        <v>2017</v>
      </c>
      <c r="O438" t="str" cm="1">
        <f t="array" ref="O438">_xlfn.IFS(OR($K438="Ghana", $K438="Nigeria"), "Anglophone", OR($K438="Togo", $K438="Benin", $K438="Senegal"), "Francophone")</f>
        <v>Anglophone</v>
      </c>
      <c r="P438" s="1" t="str">
        <f>LEFT(Int_breweries[[#This Row],[MONTHS]], 3)</f>
        <v>May</v>
      </c>
    </row>
    <row r="439" spans="1:16" ht="12.5" x14ac:dyDescent="0.25">
      <c r="A439" s="1">
        <v>10538</v>
      </c>
      <c r="B439" s="1" t="s">
        <v>42</v>
      </c>
      <c r="C439" s="1" t="s">
        <v>43</v>
      </c>
      <c r="D439" t="s">
        <v>66</v>
      </c>
      <c r="E439" s="1">
        <v>170</v>
      </c>
      <c r="F439" s="1">
        <v>250</v>
      </c>
      <c r="G439" s="1">
        <v>826</v>
      </c>
      <c r="H439" s="1">
        <f>Int_breweries[[#This Row],[PLANT_COST]]*Int_breweries[[#This Row],[QUANTITY]]</f>
        <v>140420</v>
      </c>
      <c r="I439" s="1">
        <v>206500</v>
      </c>
      <c r="J439" s="1">
        <v>66080</v>
      </c>
      <c r="K439" s="1" t="s">
        <v>24</v>
      </c>
      <c r="L439" t="s">
        <v>60</v>
      </c>
      <c r="M439" s="1" t="s">
        <v>34</v>
      </c>
      <c r="N439" s="1">
        <v>2017</v>
      </c>
      <c r="O439" t="str" cm="1">
        <f t="array" ref="O439">_xlfn.IFS(OR($K439="Ghana", $K439="Nigeria"), "Anglophone", OR($K439="Togo", $K439="Benin", $K439="Senegal"), "Francophone")</f>
        <v>Francophone</v>
      </c>
      <c r="P439" s="1" t="str">
        <f>LEFT(Int_breweries[[#This Row],[MONTHS]], 3)</f>
        <v>Jun</v>
      </c>
    </row>
    <row r="440" spans="1:16" ht="12.5" x14ac:dyDescent="0.25">
      <c r="A440" s="1">
        <v>10539</v>
      </c>
      <c r="B440" s="1" t="s">
        <v>45</v>
      </c>
      <c r="C440" s="1" t="s">
        <v>46</v>
      </c>
      <c r="D440" t="s">
        <v>67</v>
      </c>
      <c r="E440" s="1">
        <v>150</v>
      </c>
      <c r="F440" s="1">
        <v>200</v>
      </c>
      <c r="G440" s="1">
        <v>989</v>
      </c>
      <c r="H440" s="1">
        <f>Int_breweries[[#This Row],[PLANT_COST]]*Int_breweries[[#This Row],[QUANTITY]]</f>
        <v>148350</v>
      </c>
      <c r="I440" s="1">
        <v>197800</v>
      </c>
      <c r="J440" s="1">
        <v>49450</v>
      </c>
      <c r="K440" s="1" t="s">
        <v>28</v>
      </c>
      <c r="L440" t="s">
        <v>61</v>
      </c>
      <c r="M440" s="1" t="s">
        <v>37</v>
      </c>
      <c r="N440" s="1">
        <v>2017</v>
      </c>
      <c r="O440" t="str" cm="1">
        <f t="array" ref="O440">_xlfn.IFS(OR($K440="Ghana", $K440="Nigeria"), "Anglophone", OR($K440="Togo", $K440="Benin", $K440="Senegal"), "Francophone")</f>
        <v>Francophone</v>
      </c>
      <c r="P440" s="1" t="str">
        <f>LEFT(Int_breweries[[#This Row],[MONTHS]], 3)</f>
        <v>Jul</v>
      </c>
    </row>
    <row r="441" spans="1:16" ht="12.5" x14ac:dyDescent="0.25">
      <c r="A441" s="1">
        <v>10540</v>
      </c>
      <c r="B441" s="1" t="s">
        <v>26</v>
      </c>
      <c r="C441" s="1" t="s">
        <v>27</v>
      </c>
      <c r="D441" t="s">
        <v>68</v>
      </c>
      <c r="E441" s="1">
        <v>80</v>
      </c>
      <c r="F441" s="1">
        <v>150</v>
      </c>
      <c r="G441" s="1">
        <v>881</v>
      </c>
      <c r="H441" s="1">
        <f>Int_breweries[[#This Row],[PLANT_COST]]*Int_breweries[[#This Row],[QUANTITY]]</f>
        <v>70480</v>
      </c>
      <c r="I441" s="1">
        <v>132150</v>
      </c>
      <c r="J441" s="1">
        <v>61670</v>
      </c>
      <c r="K441" s="1" t="s">
        <v>32</v>
      </c>
      <c r="L441" t="s">
        <v>62</v>
      </c>
      <c r="M441" s="1" t="s">
        <v>38</v>
      </c>
      <c r="N441" s="1">
        <v>2019</v>
      </c>
      <c r="O441" t="str" cm="1">
        <f t="array" ref="O441">_xlfn.IFS(OR($K441="Ghana", $K441="Nigeria"), "Anglophone", OR($K441="Togo", $K441="Benin", $K441="Senegal"), "Francophone")</f>
        <v>Francophone</v>
      </c>
      <c r="P441" s="1" t="str">
        <f>LEFT(Int_breweries[[#This Row],[MONTHS]], 3)</f>
        <v>Aug</v>
      </c>
    </row>
    <row r="442" spans="1:16" ht="12.5" x14ac:dyDescent="0.25">
      <c r="A442" s="1">
        <v>10541</v>
      </c>
      <c r="B442" s="1" t="s">
        <v>49</v>
      </c>
      <c r="C442" s="1" t="s">
        <v>50</v>
      </c>
      <c r="D442" t="s">
        <v>69</v>
      </c>
      <c r="E442" s="1">
        <v>90</v>
      </c>
      <c r="F442" s="1">
        <v>150</v>
      </c>
      <c r="G442" s="1">
        <v>768</v>
      </c>
      <c r="H442" s="1">
        <f>Int_breweries[[#This Row],[PLANT_COST]]*Int_breweries[[#This Row],[QUANTITY]]</f>
        <v>69120</v>
      </c>
      <c r="I442" s="1">
        <v>115200</v>
      </c>
      <c r="J442" s="1">
        <v>46080</v>
      </c>
      <c r="K442" s="1" t="s">
        <v>14</v>
      </c>
      <c r="L442" t="s">
        <v>15</v>
      </c>
      <c r="M442" s="1" t="s">
        <v>41</v>
      </c>
      <c r="N442" s="1">
        <v>2019</v>
      </c>
      <c r="O442" t="str" cm="1">
        <f t="array" ref="O442">_xlfn.IFS(OR($K442="Ghana", $K442="Nigeria"), "Anglophone", OR($K442="Togo", $K442="Benin", $K442="Senegal"), "Francophone")</f>
        <v>Anglophone</v>
      </c>
      <c r="P442" s="1" t="str">
        <f>LEFT(Int_breweries[[#This Row],[MONTHS]], 3)</f>
        <v>Sep</v>
      </c>
    </row>
    <row r="443" spans="1:16" ht="12.5" x14ac:dyDescent="0.25">
      <c r="A443" s="1">
        <v>10542</v>
      </c>
      <c r="B443" s="1" t="s">
        <v>26</v>
      </c>
      <c r="C443" s="1" t="s">
        <v>27</v>
      </c>
      <c r="D443" t="s">
        <v>63</v>
      </c>
      <c r="E443" s="1">
        <v>150</v>
      </c>
      <c r="F443" s="1">
        <v>200</v>
      </c>
      <c r="G443" s="1">
        <v>844</v>
      </c>
      <c r="H443" s="1">
        <f>Int_breweries[[#This Row],[PLANT_COST]]*Int_breweries[[#This Row],[QUANTITY]]</f>
        <v>126600</v>
      </c>
      <c r="I443" s="1">
        <v>168800</v>
      </c>
      <c r="J443" s="1">
        <v>42200</v>
      </c>
      <c r="K443" s="1" t="s">
        <v>19</v>
      </c>
      <c r="L443" t="s">
        <v>58</v>
      </c>
      <c r="M443" s="1" t="s">
        <v>44</v>
      </c>
      <c r="N443" s="1">
        <v>2018</v>
      </c>
      <c r="O443" t="str" cm="1">
        <f t="array" ref="O443">_xlfn.IFS(OR($K443="Ghana", $K443="Nigeria"), "Anglophone", OR($K443="Togo", $K443="Benin", $K443="Senegal"), "Francophone")</f>
        <v>Anglophone</v>
      </c>
      <c r="P443" s="1" t="str">
        <f>LEFT(Int_breweries[[#This Row],[MONTHS]], 3)</f>
        <v>Oct</v>
      </c>
    </row>
    <row r="444" spans="1:16" ht="12.5" x14ac:dyDescent="0.25">
      <c r="A444" s="1">
        <v>10543</v>
      </c>
      <c r="B444" s="1" t="s">
        <v>39</v>
      </c>
      <c r="C444" s="1" t="s">
        <v>40</v>
      </c>
      <c r="D444" t="s">
        <v>64</v>
      </c>
      <c r="E444" s="1">
        <v>250</v>
      </c>
      <c r="F444" s="1">
        <v>500</v>
      </c>
      <c r="G444" s="1">
        <v>790</v>
      </c>
      <c r="H444" s="1">
        <f>Int_breweries[[#This Row],[PLANT_COST]]*Int_breweries[[#This Row],[QUANTITY]]</f>
        <v>197500</v>
      </c>
      <c r="I444" s="1">
        <v>395000</v>
      </c>
      <c r="J444" s="1">
        <v>197500</v>
      </c>
      <c r="K444" s="1" t="s">
        <v>24</v>
      </c>
      <c r="L444" t="s">
        <v>59</v>
      </c>
      <c r="M444" s="1" t="s">
        <v>47</v>
      </c>
      <c r="N444" s="1">
        <v>2017</v>
      </c>
      <c r="O444" t="str" cm="1">
        <f t="array" ref="O444">_xlfn.IFS(OR($K444="Ghana", $K444="Nigeria"), "Anglophone", OR($K444="Togo", $K444="Benin", $K444="Senegal"), "Francophone")</f>
        <v>Francophone</v>
      </c>
      <c r="P444" s="1" t="str">
        <f>LEFT(Int_breweries[[#This Row],[MONTHS]], 3)</f>
        <v>Nov</v>
      </c>
    </row>
    <row r="445" spans="1:16" ht="12.5" x14ac:dyDescent="0.25">
      <c r="A445" s="1">
        <v>10544</v>
      </c>
      <c r="B445" s="1" t="s">
        <v>26</v>
      </c>
      <c r="C445" s="1" t="s">
        <v>27</v>
      </c>
      <c r="D445" t="s">
        <v>65</v>
      </c>
      <c r="E445" s="1">
        <v>180</v>
      </c>
      <c r="F445" s="1">
        <v>450</v>
      </c>
      <c r="G445" s="1">
        <v>898</v>
      </c>
      <c r="H445" s="1">
        <f>Int_breweries[[#This Row],[PLANT_COST]]*Int_breweries[[#This Row],[QUANTITY]]</f>
        <v>161640</v>
      </c>
      <c r="I445" s="1">
        <v>404100</v>
      </c>
      <c r="J445" s="1">
        <v>242460</v>
      </c>
      <c r="K445" s="1" t="s">
        <v>28</v>
      </c>
      <c r="L445" t="s">
        <v>60</v>
      </c>
      <c r="M445" s="1" t="s">
        <v>48</v>
      </c>
      <c r="N445" s="1">
        <v>2018</v>
      </c>
      <c r="O445" t="str" cm="1">
        <f t="array" ref="O445">_xlfn.IFS(OR($K445="Ghana", $K445="Nigeria"), "Anglophone", OR($K445="Togo", $K445="Benin", $K445="Senegal"), "Francophone")</f>
        <v>Francophone</v>
      </c>
      <c r="P445" s="1" t="str">
        <f>LEFT(Int_breweries[[#This Row],[MONTHS]], 3)</f>
        <v>Dec</v>
      </c>
    </row>
    <row r="446" spans="1:16" ht="12.5" x14ac:dyDescent="0.25">
      <c r="A446" s="1">
        <v>10545</v>
      </c>
      <c r="B446" s="1" t="s">
        <v>45</v>
      </c>
      <c r="C446" s="1" t="s">
        <v>46</v>
      </c>
      <c r="D446" t="s">
        <v>66</v>
      </c>
      <c r="E446" s="1">
        <v>170</v>
      </c>
      <c r="F446" s="1">
        <v>250</v>
      </c>
      <c r="G446" s="1">
        <v>818</v>
      </c>
      <c r="H446" s="1">
        <f>Int_breweries[[#This Row],[PLANT_COST]]*Int_breweries[[#This Row],[QUANTITY]]</f>
        <v>139060</v>
      </c>
      <c r="I446" s="1">
        <v>204500</v>
      </c>
      <c r="J446" s="1">
        <v>65440</v>
      </c>
      <c r="K446" s="1" t="s">
        <v>32</v>
      </c>
      <c r="L446" t="s">
        <v>61</v>
      </c>
      <c r="M446" s="1" t="s">
        <v>16</v>
      </c>
      <c r="N446" s="1">
        <v>2018</v>
      </c>
      <c r="O446" t="str" cm="1">
        <f t="array" ref="O446">_xlfn.IFS(OR($K446="Ghana", $K446="Nigeria"), "Anglophone", OR($K446="Togo", $K446="Benin", $K446="Senegal"), "Francophone")</f>
        <v>Francophone</v>
      </c>
      <c r="P446" s="1" t="str">
        <f>LEFT(Int_breweries[[#This Row],[MONTHS]], 3)</f>
        <v>Jan</v>
      </c>
    </row>
    <row r="447" spans="1:16" ht="12.5" x14ac:dyDescent="0.25">
      <c r="A447" s="1">
        <v>10546</v>
      </c>
      <c r="B447" s="1" t="s">
        <v>51</v>
      </c>
      <c r="C447" s="1" t="s">
        <v>52</v>
      </c>
      <c r="D447" t="s">
        <v>67</v>
      </c>
      <c r="E447" s="1">
        <v>150</v>
      </c>
      <c r="F447" s="1">
        <v>200</v>
      </c>
      <c r="G447" s="1">
        <v>707</v>
      </c>
      <c r="H447" s="1">
        <f>Int_breweries[[#This Row],[PLANT_COST]]*Int_breweries[[#This Row],[QUANTITY]]</f>
        <v>106050</v>
      </c>
      <c r="I447" s="1">
        <v>141400</v>
      </c>
      <c r="J447" s="1">
        <v>35350</v>
      </c>
      <c r="K447" s="1" t="s">
        <v>14</v>
      </c>
      <c r="L447" t="s">
        <v>62</v>
      </c>
      <c r="M447" s="1" t="s">
        <v>21</v>
      </c>
      <c r="N447" s="1">
        <v>2018</v>
      </c>
      <c r="O447" t="str" cm="1">
        <f t="array" ref="O447">_xlfn.IFS(OR($K447="Ghana", $K447="Nigeria"), "Anglophone", OR($K447="Togo", $K447="Benin", $K447="Senegal"), "Francophone")</f>
        <v>Anglophone</v>
      </c>
      <c r="P447" s="1" t="str">
        <f>LEFT(Int_breweries[[#This Row],[MONTHS]], 3)</f>
        <v>Feb</v>
      </c>
    </row>
    <row r="448" spans="1:16" ht="12.5" x14ac:dyDescent="0.25">
      <c r="A448" s="1">
        <v>10547</v>
      </c>
      <c r="B448" s="1" t="s">
        <v>49</v>
      </c>
      <c r="C448" s="1" t="s">
        <v>50</v>
      </c>
      <c r="D448" t="s">
        <v>68</v>
      </c>
      <c r="E448" s="1">
        <v>80</v>
      </c>
      <c r="F448" s="1">
        <v>150</v>
      </c>
      <c r="G448" s="1">
        <v>712</v>
      </c>
      <c r="H448" s="1">
        <f>Int_breweries[[#This Row],[PLANT_COST]]*Int_breweries[[#This Row],[QUANTITY]]</f>
        <v>56960</v>
      </c>
      <c r="I448" s="1">
        <v>106800</v>
      </c>
      <c r="J448" s="1">
        <v>49840</v>
      </c>
      <c r="K448" s="1" t="s">
        <v>19</v>
      </c>
      <c r="L448" t="s">
        <v>15</v>
      </c>
      <c r="M448" s="1" t="s">
        <v>25</v>
      </c>
      <c r="N448" s="1">
        <v>2017</v>
      </c>
      <c r="O448" t="str" cm="1">
        <f t="array" ref="O448">_xlfn.IFS(OR($K448="Ghana", $K448="Nigeria"), "Anglophone", OR($K448="Togo", $K448="Benin", $K448="Senegal"), "Francophone")</f>
        <v>Anglophone</v>
      </c>
      <c r="P448" s="1" t="str">
        <f>LEFT(Int_breweries[[#This Row],[MONTHS]], 3)</f>
        <v>Mar</v>
      </c>
    </row>
    <row r="449" spans="1:16" ht="12.5" x14ac:dyDescent="0.25">
      <c r="A449" s="1">
        <v>10548</v>
      </c>
      <c r="B449" s="1" t="s">
        <v>45</v>
      </c>
      <c r="C449" s="1" t="s">
        <v>46</v>
      </c>
      <c r="D449" t="s">
        <v>69</v>
      </c>
      <c r="E449" s="1">
        <v>90</v>
      </c>
      <c r="F449" s="1">
        <v>150</v>
      </c>
      <c r="G449" s="1">
        <v>991</v>
      </c>
      <c r="H449" s="1">
        <f>Int_breweries[[#This Row],[PLANT_COST]]*Int_breweries[[#This Row],[QUANTITY]]</f>
        <v>89190</v>
      </c>
      <c r="I449" s="1">
        <v>148650</v>
      </c>
      <c r="J449" s="1">
        <v>59460</v>
      </c>
      <c r="K449" s="1" t="s">
        <v>24</v>
      </c>
      <c r="L449" t="s">
        <v>58</v>
      </c>
      <c r="M449" s="1" t="s">
        <v>29</v>
      </c>
      <c r="N449" s="1">
        <v>2018</v>
      </c>
      <c r="O449" t="str" cm="1">
        <f t="array" ref="O449">_xlfn.IFS(OR($K449="Ghana", $K449="Nigeria"), "Anglophone", OR($K449="Togo", $K449="Benin", $K449="Senegal"), "Francophone")</f>
        <v>Francophone</v>
      </c>
      <c r="P449" s="1" t="str">
        <f>LEFT(Int_breweries[[#This Row],[MONTHS]], 3)</f>
        <v>Apr</v>
      </c>
    </row>
    <row r="450" spans="1:16" ht="12.5" x14ac:dyDescent="0.25">
      <c r="A450" s="1">
        <v>10549</v>
      </c>
      <c r="B450" s="1" t="s">
        <v>17</v>
      </c>
      <c r="C450" s="1" t="s">
        <v>18</v>
      </c>
      <c r="D450" t="s">
        <v>63</v>
      </c>
      <c r="E450" s="1">
        <v>150</v>
      </c>
      <c r="F450" s="1">
        <v>200</v>
      </c>
      <c r="G450" s="1">
        <v>900</v>
      </c>
      <c r="H450" s="1">
        <f>Int_breweries[[#This Row],[PLANT_COST]]*Int_breweries[[#This Row],[QUANTITY]]</f>
        <v>135000</v>
      </c>
      <c r="I450" s="1">
        <v>180000</v>
      </c>
      <c r="J450" s="1">
        <v>45000</v>
      </c>
      <c r="K450" s="1" t="s">
        <v>28</v>
      </c>
      <c r="L450" t="s">
        <v>59</v>
      </c>
      <c r="M450" s="1" t="s">
        <v>33</v>
      </c>
      <c r="N450" s="1">
        <v>2019</v>
      </c>
      <c r="O450" t="str" cm="1">
        <f t="array" ref="O450">_xlfn.IFS(OR($K450="Ghana", $K450="Nigeria"), "Anglophone", OR($K450="Togo", $K450="Benin", $K450="Senegal"), "Francophone")</f>
        <v>Francophone</v>
      </c>
      <c r="P450" s="1" t="str">
        <f>LEFT(Int_breweries[[#This Row],[MONTHS]], 3)</f>
        <v>May</v>
      </c>
    </row>
    <row r="451" spans="1:16" ht="12.5" x14ac:dyDescent="0.25">
      <c r="A451" s="1">
        <v>10550</v>
      </c>
      <c r="B451" s="1" t="s">
        <v>49</v>
      </c>
      <c r="C451" s="1" t="s">
        <v>50</v>
      </c>
      <c r="D451" t="s">
        <v>64</v>
      </c>
      <c r="E451" s="1">
        <v>250</v>
      </c>
      <c r="F451" s="1">
        <v>500</v>
      </c>
      <c r="G451" s="1">
        <v>810</v>
      </c>
      <c r="H451" s="1">
        <f>Int_breweries[[#This Row],[PLANT_COST]]*Int_breweries[[#This Row],[QUANTITY]]</f>
        <v>202500</v>
      </c>
      <c r="I451" s="1">
        <v>405000</v>
      </c>
      <c r="J451" s="1">
        <v>202500</v>
      </c>
      <c r="K451" s="1" t="s">
        <v>32</v>
      </c>
      <c r="L451" t="s">
        <v>60</v>
      </c>
      <c r="M451" s="1" t="s">
        <v>34</v>
      </c>
      <c r="N451" s="1">
        <v>2019</v>
      </c>
      <c r="O451" t="str" cm="1">
        <f t="array" ref="O451">_xlfn.IFS(OR($K451="Ghana", $K451="Nigeria"), "Anglophone", OR($K451="Togo", $K451="Benin", $K451="Senegal"), "Francophone")</f>
        <v>Francophone</v>
      </c>
      <c r="P451" s="1" t="str">
        <f>LEFT(Int_breweries[[#This Row],[MONTHS]], 3)</f>
        <v>Jun</v>
      </c>
    </row>
    <row r="452" spans="1:16" ht="12.5" x14ac:dyDescent="0.25">
      <c r="A452" s="1">
        <v>10551</v>
      </c>
      <c r="B452" s="1" t="s">
        <v>26</v>
      </c>
      <c r="C452" s="1" t="s">
        <v>27</v>
      </c>
      <c r="D452" t="s">
        <v>65</v>
      </c>
      <c r="E452" s="1">
        <v>180</v>
      </c>
      <c r="F452" s="1">
        <v>450</v>
      </c>
      <c r="G452" s="1">
        <v>740</v>
      </c>
      <c r="H452" s="1">
        <f>Int_breweries[[#This Row],[PLANT_COST]]*Int_breweries[[#This Row],[QUANTITY]]</f>
        <v>133200</v>
      </c>
      <c r="I452" s="1">
        <v>333000</v>
      </c>
      <c r="J452" s="1">
        <v>199800</v>
      </c>
      <c r="K452" s="1" t="s">
        <v>14</v>
      </c>
      <c r="L452" t="s">
        <v>61</v>
      </c>
      <c r="M452" s="1" t="s">
        <v>37</v>
      </c>
      <c r="N452" s="1">
        <v>2019</v>
      </c>
      <c r="O452" t="str" cm="1">
        <f t="array" ref="O452">_xlfn.IFS(OR($K452="Ghana", $K452="Nigeria"), "Anglophone", OR($K452="Togo", $K452="Benin", $K452="Senegal"), "Francophone")</f>
        <v>Anglophone</v>
      </c>
      <c r="P452" s="1" t="str">
        <f>LEFT(Int_breweries[[#This Row],[MONTHS]], 3)</f>
        <v>Jul</v>
      </c>
    </row>
    <row r="453" spans="1:16" ht="12.5" x14ac:dyDescent="0.25">
      <c r="A453" s="1">
        <v>10552</v>
      </c>
      <c r="B453" s="1" t="s">
        <v>22</v>
      </c>
      <c r="C453" s="1" t="s">
        <v>23</v>
      </c>
      <c r="D453" t="s">
        <v>66</v>
      </c>
      <c r="E453" s="1">
        <v>170</v>
      </c>
      <c r="F453" s="1">
        <v>250</v>
      </c>
      <c r="G453" s="1">
        <v>909</v>
      </c>
      <c r="H453" s="1">
        <f>Int_breweries[[#This Row],[PLANT_COST]]*Int_breweries[[#This Row],[QUANTITY]]</f>
        <v>154530</v>
      </c>
      <c r="I453" s="1">
        <v>227250</v>
      </c>
      <c r="J453" s="1">
        <v>72720</v>
      </c>
      <c r="K453" s="1" t="s">
        <v>19</v>
      </c>
      <c r="L453" t="s">
        <v>62</v>
      </c>
      <c r="M453" s="1" t="s">
        <v>38</v>
      </c>
      <c r="N453" s="1">
        <v>2017</v>
      </c>
      <c r="O453" t="str" cm="1">
        <f t="array" ref="O453">_xlfn.IFS(OR($K453="Ghana", $K453="Nigeria"), "Anglophone", OR($K453="Togo", $K453="Benin", $K453="Senegal"), "Francophone")</f>
        <v>Anglophone</v>
      </c>
      <c r="P453" s="1" t="str">
        <f>LEFT(Int_breweries[[#This Row],[MONTHS]], 3)</f>
        <v>Aug</v>
      </c>
    </row>
    <row r="454" spans="1:16" ht="12.5" x14ac:dyDescent="0.25">
      <c r="A454" s="1">
        <v>10553</v>
      </c>
      <c r="B454" s="1" t="s">
        <v>12</v>
      </c>
      <c r="C454" s="1" t="s">
        <v>13</v>
      </c>
      <c r="D454" t="s">
        <v>67</v>
      </c>
      <c r="E454" s="1">
        <v>150</v>
      </c>
      <c r="F454" s="1">
        <v>200</v>
      </c>
      <c r="G454" s="1">
        <v>824</v>
      </c>
      <c r="H454" s="1">
        <f>Int_breweries[[#This Row],[PLANT_COST]]*Int_breweries[[#This Row],[QUANTITY]]</f>
        <v>123600</v>
      </c>
      <c r="I454" s="1">
        <v>164800</v>
      </c>
      <c r="J454" s="1">
        <v>41200</v>
      </c>
      <c r="K454" s="1" t="s">
        <v>24</v>
      </c>
      <c r="L454" t="s">
        <v>15</v>
      </c>
      <c r="M454" s="1" t="s">
        <v>41</v>
      </c>
      <c r="N454" s="1">
        <v>2018</v>
      </c>
      <c r="O454" t="str" cm="1">
        <f t="array" ref="O454">_xlfn.IFS(OR($K454="Ghana", $K454="Nigeria"), "Anglophone", OR($K454="Togo", $K454="Benin", $K454="Senegal"), "Francophone")</f>
        <v>Francophone</v>
      </c>
      <c r="P454" s="1" t="str">
        <f>LEFT(Int_breweries[[#This Row],[MONTHS]], 3)</f>
        <v>Sep</v>
      </c>
    </row>
    <row r="455" spans="1:16" ht="12.5" x14ac:dyDescent="0.25">
      <c r="A455" s="1">
        <v>10554</v>
      </c>
      <c r="B455" s="1" t="s">
        <v>30</v>
      </c>
      <c r="C455" s="1" t="s">
        <v>31</v>
      </c>
      <c r="D455" t="s">
        <v>68</v>
      </c>
      <c r="E455" s="1">
        <v>80</v>
      </c>
      <c r="F455" s="1">
        <v>150</v>
      </c>
      <c r="G455" s="1">
        <v>809</v>
      </c>
      <c r="H455" s="1">
        <f>Int_breweries[[#This Row],[PLANT_COST]]*Int_breweries[[#This Row],[QUANTITY]]</f>
        <v>64720</v>
      </c>
      <c r="I455" s="1">
        <v>121350</v>
      </c>
      <c r="J455" s="1">
        <v>56630</v>
      </c>
      <c r="K455" s="1" t="s">
        <v>28</v>
      </c>
      <c r="L455" t="s">
        <v>58</v>
      </c>
      <c r="M455" s="1" t="s">
        <v>44</v>
      </c>
      <c r="N455" s="1">
        <v>2017</v>
      </c>
      <c r="O455" t="str" cm="1">
        <f t="array" ref="O455">_xlfn.IFS(OR($K455="Ghana", $K455="Nigeria"), "Anglophone", OR($K455="Togo", $K455="Benin", $K455="Senegal"), "Francophone")</f>
        <v>Francophone</v>
      </c>
      <c r="P455" s="1" t="str">
        <f>LEFT(Int_breweries[[#This Row],[MONTHS]], 3)</f>
        <v>Oct</v>
      </c>
    </row>
    <row r="456" spans="1:16" ht="12.5" x14ac:dyDescent="0.25">
      <c r="A456" s="1">
        <v>10555</v>
      </c>
      <c r="B456" s="1" t="s">
        <v>42</v>
      </c>
      <c r="C456" s="1" t="s">
        <v>43</v>
      </c>
      <c r="D456" t="s">
        <v>69</v>
      </c>
      <c r="E456" s="1">
        <v>90</v>
      </c>
      <c r="F456" s="1">
        <v>150</v>
      </c>
      <c r="G456" s="1">
        <v>819</v>
      </c>
      <c r="H456" s="1">
        <f>Int_breweries[[#This Row],[PLANT_COST]]*Int_breweries[[#This Row],[QUANTITY]]</f>
        <v>73710</v>
      </c>
      <c r="I456" s="1">
        <v>122850</v>
      </c>
      <c r="J456" s="1">
        <v>49140</v>
      </c>
      <c r="K456" s="1" t="s">
        <v>32</v>
      </c>
      <c r="L456" t="s">
        <v>59</v>
      </c>
      <c r="M456" s="1" t="s">
        <v>47</v>
      </c>
      <c r="N456" s="1">
        <v>2018</v>
      </c>
      <c r="O456" t="str" cm="1">
        <f t="array" ref="O456">_xlfn.IFS(OR($K456="Ghana", $K456="Nigeria"), "Anglophone", OR($K456="Togo", $K456="Benin", $K456="Senegal"), "Francophone")</f>
        <v>Francophone</v>
      </c>
      <c r="P456" s="1" t="str">
        <f>LEFT(Int_breweries[[#This Row],[MONTHS]], 3)</f>
        <v>Nov</v>
      </c>
    </row>
    <row r="457" spans="1:16" ht="12.5" x14ac:dyDescent="0.25">
      <c r="A457" s="1">
        <v>10556</v>
      </c>
      <c r="B457" s="1" t="s">
        <v>17</v>
      </c>
      <c r="C457" s="1" t="s">
        <v>18</v>
      </c>
      <c r="D457" t="s">
        <v>63</v>
      </c>
      <c r="E457" s="1">
        <v>150</v>
      </c>
      <c r="F457" s="1">
        <v>200</v>
      </c>
      <c r="G457" s="1">
        <v>865</v>
      </c>
      <c r="H457" s="1">
        <f>Int_breweries[[#This Row],[PLANT_COST]]*Int_breweries[[#This Row],[QUANTITY]]</f>
        <v>129750</v>
      </c>
      <c r="I457" s="1">
        <v>173000</v>
      </c>
      <c r="J457" s="1">
        <v>43250</v>
      </c>
      <c r="K457" s="1" t="s">
        <v>14</v>
      </c>
      <c r="L457" t="s">
        <v>60</v>
      </c>
      <c r="M457" s="1" t="s">
        <v>48</v>
      </c>
      <c r="N457" s="1">
        <v>2019</v>
      </c>
      <c r="O457" t="str" cm="1">
        <f t="array" ref="O457">_xlfn.IFS(OR($K457="Ghana", $K457="Nigeria"), "Anglophone", OR($K457="Togo", $K457="Benin", $K457="Senegal"), "Francophone")</f>
        <v>Anglophone</v>
      </c>
      <c r="P457" s="1" t="str">
        <f>LEFT(Int_breweries[[#This Row],[MONTHS]], 3)</f>
        <v>Dec</v>
      </c>
    </row>
    <row r="458" spans="1:16" ht="12.5" x14ac:dyDescent="0.25">
      <c r="A458" s="1">
        <v>10557</v>
      </c>
      <c r="B458" s="1" t="s">
        <v>17</v>
      </c>
      <c r="C458" s="1" t="s">
        <v>18</v>
      </c>
      <c r="D458" t="s">
        <v>64</v>
      </c>
      <c r="E458" s="1">
        <v>250</v>
      </c>
      <c r="F458" s="1">
        <v>500</v>
      </c>
      <c r="G458" s="1">
        <v>902</v>
      </c>
      <c r="H458" s="1">
        <f>Int_breweries[[#This Row],[PLANT_COST]]*Int_breweries[[#This Row],[QUANTITY]]</f>
        <v>225500</v>
      </c>
      <c r="I458" s="1">
        <v>451000</v>
      </c>
      <c r="J458" s="1">
        <v>225500</v>
      </c>
      <c r="K458" s="1" t="s">
        <v>19</v>
      </c>
      <c r="L458" t="s">
        <v>61</v>
      </c>
      <c r="M458" s="1" t="s">
        <v>16</v>
      </c>
      <c r="N458" s="1">
        <v>2019</v>
      </c>
      <c r="O458" t="str" cm="1">
        <f t="array" ref="O458">_xlfn.IFS(OR($K458="Ghana", $K458="Nigeria"), "Anglophone", OR($K458="Togo", $K458="Benin", $K458="Senegal"), "Francophone")</f>
        <v>Anglophone</v>
      </c>
      <c r="P458" s="1" t="str">
        <f>LEFT(Int_breweries[[#This Row],[MONTHS]], 3)</f>
        <v>Jan</v>
      </c>
    </row>
    <row r="459" spans="1:16" ht="12.5" x14ac:dyDescent="0.25">
      <c r="A459" s="1">
        <v>10558</v>
      </c>
      <c r="B459" s="1" t="s">
        <v>51</v>
      </c>
      <c r="C459" s="1" t="s">
        <v>52</v>
      </c>
      <c r="D459" t="s">
        <v>65</v>
      </c>
      <c r="E459" s="1">
        <v>180</v>
      </c>
      <c r="F459" s="1">
        <v>450</v>
      </c>
      <c r="G459" s="1">
        <v>796</v>
      </c>
      <c r="H459" s="1">
        <f>Int_breweries[[#This Row],[PLANT_COST]]*Int_breweries[[#This Row],[QUANTITY]]</f>
        <v>143280</v>
      </c>
      <c r="I459" s="1">
        <v>358200</v>
      </c>
      <c r="J459" s="1">
        <v>214920</v>
      </c>
      <c r="K459" s="1" t="s">
        <v>24</v>
      </c>
      <c r="L459" t="s">
        <v>62</v>
      </c>
      <c r="M459" s="1" t="s">
        <v>21</v>
      </c>
      <c r="N459" s="1">
        <v>2017</v>
      </c>
      <c r="O459" t="str" cm="1">
        <f t="array" ref="O459">_xlfn.IFS(OR($K459="Ghana", $K459="Nigeria"), "Anglophone", OR($K459="Togo", $K459="Benin", $K459="Senegal"), "Francophone")</f>
        <v>Francophone</v>
      </c>
      <c r="P459" s="1" t="str">
        <f>LEFT(Int_breweries[[#This Row],[MONTHS]], 3)</f>
        <v>Feb</v>
      </c>
    </row>
    <row r="460" spans="1:16" ht="12.5" x14ac:dyDescent="0.25">
      <c r="A460" s="1">
        <v>10559</v>
      </c>
      <c r="B460" s="1" t="s">
        <v>26</v>
      </c>
      <c r="C460" s="1" t="s">
        <v>27</v>
      </c>
      <c r="D460" t="s">
        <v>66</v>
      </c>
      <c r="E460" s="1">
        <v>170</v>
      </c>
      <c r="F460" s="1">
        <v>250</v>
      </c>
      <c r="G460" s="1">
        <v>916</v>
      </c>
      <c r="H460" s="1">
        <f>Int_breweries[[#This Row],[PLANT_COST]]*Int_breweries[[#This Row],[QUANTITY]]</f>
        <v>155720</v>
      </c>
      <c r="I460" s="1">
        <v>229000</v>
      </c>
      <c r="J460" s="1">
        <v>73280</v>
      </c>
      <c r="K460" s="1" t="s">
        <v>28</v>
      </c>
      <c r="L460" t="s">
        <v>15</v>
      </c>
      <c r="M460" s="1" t="s">
        <v>25</v>
      </c>
      <c r="N460" s="1">
        <v>2018</v>
      </c>
      <c r="O460" t="str" cm="1">
        <f t="array" ref="O460">_xlfn.IFS(OR($K460="Ghana", $K460="Nigeria"), "Anglophone", OR($K460="Togo", $K460="Benin", $K460="Senegal"), "Francophone")</f>
        <v>Francophone</v>
      </c>
      <c r="P460" s="1" t="str">
        <f>LEFT(Int_breweries[[#This Row],[MONTHS]], 3)</f>
        <v>Mar</v>
      </c>
    </row>
    <row r="461" spans="1:16" ht="12.5" x14ac:dyDescent="0.25">
      <c r="A461" s="1">
        <v>10560</v>
      </c>
      <c r="B461" s="1" t="s">
        <v>39</v>
      </c>
      <c r="C461" s="1" t="s">
        <v>40</v>
      </c>
      <c r="D461" t="s">
        <v>67</v>
      </c>
      <c r="E461" s="1">
        <v>150</v>
      </c>
      <c r="F461" s="1">
        <v>200</v>
      </c>
      <c r="G461" s="1">
        <v>982</v>
      </c>
      <c r="H461" s="1">
        <f>Int_breweries[[#This Row],[PLANT_COST]]*Int_breweries[[#This Row],[QUANTITY]]</f>
        <v>147300</v>
      </c>
      <c r="I461" s="1">
        <v>196400</v>
      </c>
      <c r="J461" s="1">
        <v>49100</v>
      </c>
      <c r="K461" s="1" t="s">
        <v>32</v>
      </c>
      <c r="L461" t="s">
        <v>58</v>
      </c>
      <c r="M461" s="1" t="s">
        <v>29</v>
      </c>
      <c r="N461" s="1">
        <v>2017</v>
      </c>
      <c r="O461" t="str" cm="1">
        <f t="array" ref="O461">_xlfn.IFS(OR($K461="Ghana", $K461="Nigeria"), "Anglophone", OR($K461="Togo", $K461="Benin", $K461="Senegal"), "Francophone")</f>
        <v>Francophone</v>
      </c>
      <c r="P461" s="1" t="str">
        <f>LEFT(Int_breweries[[#This Row],[MONTHS]], 3)</f>
        <v>Apr</v>
      </c>
    </row>
    <row r="462" spans="1:16" ht="12.5" x14ac:dyDescent="0.25">
      <c r="A462" s="1">
        <v>10561</v>
      </c>
      <c r="B462" s="1" t="s">
        <v>51</v>
      </c>
      <c r="C462" s="1" t="s">
        <v>52</v>
      </c>
      <c r="D462" t="s">
        <v>68</v>
      </c>
      <c r="E462" s="1">
        <v>80</v>
      </c>
      <c r="F462" s="1">
        <v>150</v>
      </c>
      <c r="G462" s="1">
        <v>734</v>
      </c>
      <c r="H462" s="1">
        <f>Int_breweries[[#This Row],[PLANT_COST]]*Int_breweries[[#This Row],[QUANTITY]]</f>
        <v>58720</v>
      </c>
      <c r="I462" s="1">
        <v>110100</v>
      </c>
      <c r="J462" s="1">
        <v>51380</v>
      </c>
      <c r="K462" s="1" t="s">
        <v>14</v>
      </c>
      <c r="L462" t="s">
        <v>59</v>
      </c>
      <c r="M462" s="1" t="s">
        <v>33</v>
      </c>
      <c r="N462" s="1">
        <v>2018</v>
      </c>
      <c r="O462" t="str" cm="1">
        <f t="array" ref="O462">_xlfn.IFS(OR($K462="Ghana", $K462="Nigeria"), "Anglophone", OR($K462="Togo", $K462="Benin", $K462="Senegal"), "Francophone")</f>
        <v>Anglophone</v>
      </c>
      <c r="P462" s="1" t="str">
        <f>LEFT(Int_breweries[[#This Row],[MONTHS]], 3)</f>
        <v>May</v>
      </c>
    </row>
    <row r="463" spans="1:16" ht="12.5" x14ac:dyDescent="0.25">
      <c r="A463" s="1">
        <v>10562</v>
      </c>
      <c r="B463" s="1" t="s">
        <v>22</v>
      </c>
      <c r="C463" s="1" t="s">
        <v>23</v>
      </c>
      <c r="D463" t="s">
        <v>69</v>
      </c>
      <c r="E463" s="1">
        <v>90</v>
      </c>
      <c r="F463" s="1">
        <v>150</v>
      </c>
      <c r="G463" s="1">
        <v>735</v>
      </c>
      <c r="H463" s="1">
        <f>Int_breweries[[#This Row],[PLANT_COST]]*Int_breweries[[#This Row],[QUANTITY]]</f>
        <v>66150</v>
      </c>
      <c r="I463" s="1">
        <v>110250</v>
      </c>
      <c r="J463" s="1">
        <v>44100</v>
      </c>
      <c r="K463" s="1" t="s">
        <v>19</v>
      </c>
      <c r="L463" t="s">
        <v>60</v>
      </c>
      <c r="M463" s="1" t="s">
        <v>34</v>
      </c>
      <c r="N463" s="1">
        <v>2019</v>
      </c>
      <c r="O463" t="str" cm="1">
        <f t="array" ref="O463">_xlfn.IFS(OR($K463="Ghana", $K463="Nigeria"), "Anglophone", OR($K463="Togo", $K463="Benin", $K463="Senegal"), "Francophone")</f>
        <v>Anglophone</v>
      </c>
      <c r="P463" s="1" t="str">
        <f>LEFT(Int_breweries[[#This Row],[MONTHS]], 3)</f>
        <v>Jun</v>
      </c>
    </row>
    <row r="464" spans="1:16" ht="12.5" x14ac:dyDescent="0.25">
      <c r="A464" s="1">
        <v>10563</v>
      </c>
      <c r="B464" s="1" t="s">
        <v>17</v>
      </c>
      <c r="C464" s="1" t="s">
        <v>18</v>
      </c>
      <c r="D464" t="s">
        <v>63</v>
      </c>
      <c r="E464" s="1">
        <v>150</v>
      </c>
      <c r="F464" s="1">
        <v>200</v>
      </c>
      <c r="G464" s="1">
        <v>747</v>
      </c>
      <c r="H464" s="1">
        <f>Int_breweries[[#This Row],[PLANT_COST]]*Int_breweries[[#This Row],[QUANTITY]]</f>
        <v>112050</v>
      </c>
      <c r="I464" s="1">
        <v>149400</v>
      </c>
      <c r="J464" s="1">
        <v>37350</v>
      </c>
      <c r="K464" s="1" t="s">
        <v>24</v>
      </c>
      <c r="L464" t="s">
        <v>61</v>
      </c>
      <c r="M464" s="1" t="s">
        <v>37</v>
      </c>
      <c r="N464" s="1">
        <v>2017</v>
      </c>
      <c r="O464" t="str" cm="1">
        <f t="array" ref="O464">_xlfn.IFS(OR($K464="Ghana", $K464="Nigeria"), "Anglophone", OR($K464="Togo", $K464="Benin", $K464="Senegal"), "Francophone")</f>
        <v>Francophone</v>
      </c>
      <c r="P464" s="1" t="str">
        <f>LEFT(Int_breweries[[#This Row],[MONTHS]], 3)</f>
        <v>Jul</v>
      </c>
    </row>
    <row r="465" spans="1:16" ht="12.5" x14ac:dyDescent="0.25">
      <c r="A465" s="1">
        <v>10564</v>
      </c>
      <c r="B465" s="1" t="s">
        <v>22</v>
      </c>
      <c r="C465" s="1" t="s">
        <v>23</v>
      </c>
      <c r="D465" t="s">
        <v>64</v>
      </c>
      <c r="E465" s="1">
        <v>250</v>
      </c>
      <c r="F465" s="1">
        <v>500</v>
      </c>
      <c r="G465" s="1">
        <v>798</v>
      </c>
      <c r="H465" s="1">
        <f>Int_breweries[[#This Row],[PLANT_COST]]*Int_breweries[[#This Row],[QUANTITY]]</f>
        <v>199500</v>
      </c>
      <c r="I465" s="1">
        <v>399000</v>
      </c>
      <c r="J465" s="1">
        <v>199500</v>
      </c>
      <c r="K465" s="1" t="s">
        <v>28</v>
      </c>
      <c r="L465" t="s">
        <v>62</v>
      </c>
      <c r="M465" s="1" t="s">
        <v>38</v>
      </c>
      <c r="N465" s="1">
        <v>2018</v>
      </c>
      <c r="O465" t="str" cm="1">
        <f t="array" ref="O465">_xlfn.IFS(OR($K465="Ghana", $K465="Nigeria"), "Anglophone", OR($K465="Togo", $K465="Benin", $K465="Senegal"), "Francophone")</f>
        <v>Francophone</v>
      </c>
      <c r="P465" s="1" t="str">
        <f>LEFT(Int_breweries[[#This Row],[MONTHS]], 3)</f>
        <v>Aug</v>
      </c>
    </row>
    <row r="466" spans="1:16" ht="12.5" x14ac:dyDescent="0.25">
      <c r="A466" s="1">
        <v>10565</v>
      </c>
      <c r="B466" s="1" t="s">
        <v>35</v>
      </c>
      <c r="C466" s="1" t="s">
        <v>36</v>
      </c>
      <c r="D466" t="s">
        <v>65</v>
      </c>
      <c r="E466" s="1">
        <v>180</v>
      </c>
      <c r="F466" s="1">
        <v>450</v>
      </c>
      <c r="G466" s="1">
        <v>829</v>
      </c>
      <c r="H466" s="1">
        <f>Int_breweries[[#This Row],[PLANT_COST]]*Int_breweries[[#This Row],[QUANTITY]]</f>
        <v>149220</v>
      </c>
      <c r="I466" s="1">
        <v>373050</v>
      </c>
      <c r="J466" s="1">
        <v>223830</v>
      </c>
      <c r="K466" s="1" t="s">
        <v>32</v>
      </c>
      <c r="L466" t="s">
        <v>15</v>
      </c>
      <c r="M466" s="1" t="s">
        <v>41</v>
      </c>
      <c r="N466" s="1">
        <v>2017</v>
      </c>
      <c r="O466" t="str" cm="1">
        <f t="array" ref="O466">_xlfn.IFS(OR($K466="Ghana", $K466="Nigeria"), "Anglophone", OR($K466="Togo", $K466="Benin", $K466="Senegal"), "Francophone")</f>
        <v>Francophone</v>
      </c>
      <c r="P466" s="1" t="str">
        <f>LEFT(Int_breweries[[#This Row],[MONTHS]], 3)</f>
        <v>Sep</v>
      </c>
    </row>
    <row r="467" spans="1:16" ht="12.5" x14ac:dyDescent="0.25">
      <c r="A467" s="1">
        <v>10566</v>
      </c>
      <c r="B467" s="1" t="s">
        <v>30</v>
      </c>
      <c r="C467" s="1" t="s">
        <v>31</v>
      </c>
      <c r="D467" t="s">
        <v>66</v>
      </c>
      <c r="E467" s="1">
        <v>170</v>
      </c>
      <c r="F467" s="1">
        <v>250</v>
      </c>
      <c r="G467" s="1">
        <v>729</v>
      </c>
      <c r="H467" s="1">
        <f>Int_breweries[[#This Row],[PLANT_COST]]*Int_breweries[[#This Row],[QUANTITY]]</f>
        <v>123930</v>
      </c>
      <c r="I467" s="1">
        <v>182250</v>
      </c>
      <c r="J467" s="1">
        <v>58320</v>
      </c>
      <c r="K467" s="1" t="s">
        <v>14</v>
      </c>
      <c r="L467" t="s">
        <v>58</v>
      </c>
      <c r="M467" s="1" t="s">
        <v>44</v>
      </c>
      <c r="N467" s="1">
        <v>2017</v>
      </c>
      <c r="O467" t="str" cm="1">
        <f t="array" ref="O467">_xlfn.IFS(OR($K467="Ghana", $K467="Nigeria"), "Anglophone", OR($K467="Togo", $K467="Benin", $K467="Senegal"), "Francophone")</f>
        <v>Anglophone</v>
      </c>
      <c r="P467" s="1" t="str">
        <f>LEFT(Int_breweries[[#This Row],[MONTHS]], 3)</f>
        <v>Oct</v>
      </c>
    </row>
    <row r="468" spans="1:16" ht="12.5" x14ac:dyDescent="0.25">
      <c r="A468" s="1">
        <v>10567</v>
      </c>
      <c r="B468" s="1" t="s">
        <v>12</v>
      </c>
      <c r="C468" s="1" t="s">
        <v>13</v>
      </c>
      <c r="D468" t="s">
        <v>67</v>
      </c>
      <c r="E468" s="1">
        <v>150</v>
      </c>
      <c r="F468" s="1">
        <v>200</v>
      </c>
      <c r="G468" s="1">
        <v>721</v>
      </c>
      <c r="H468" s="1">
        <f>Int_breweries[[#This Row],[PLANT_COST]]*Int_breweries[[#This Row],[QUANTITY]]</f>
        <v>108150</v>
      </c>
      <c r="I468" s="1">
        <v>144200</v>
      </c>
      <c r="J468" s="1">
        <v>36050</v>
      </c>
      <c r="K468" s="1" t="s">
        <v>19</v>
      </c>
      <c r="L468" t="s">
        <v>59</v>
      </c>
      <c r="M468" s="1" t="s">
        <v>47</v>
      </c>
      <c r="N468" s="1">
        <v>2019</v>
      </c>
      <c r="O468" t="str" cm="1">
        <f t="array" ref="O468">_xlfn.IFS(OR($K468="Ghana", $K468="Nigeria"), "Anglophone", OR($K468="Togo", $K468="Benin", $K468="Senegal"), "Francophone")</f>
        <v>Anglophone</v>
      </c>
      <c r="P468" s="1" t="str">
        <f>LEFT(Int_breweries[[#This Row],[MONTHS]], 3)</f>
        <v>Nov</v>
      </c>
    </row>
    <row r="469" spans="1:16" ht="12.5" x14ac:dyDescent="0.25">
      <c r="A469" s="1">
        <v>10568</v>
      </c>
      <c r="B469" s="1" t="s">
        <v>12</v>
      </c>
      <c r="C469" s="1" t="s">
        <v>13</v>
      </c>
      <c r="D469" t="s">
        <v>68</v>
      </c>
      <c r="E469" s="1">
        <v>80</v>
      </c>
      <c r="F469" s="1">
        <v>150</v>
      </c>
      <c r="G469" s="1">
        <v>709</v>
      </c>
      <c r="H469" s="1">
        <f>Int_breweries[[#This Row],[PLANT_COST]]*Int_breweries[[#This Row],[QUANTITY]]</f>
        <v>56720</v>
      </c>
      <c r="I469" s="1">
        <v>106350</v>
      </c>
      <c r="J469" s="1">
        <v>49630</v>
      </c>
      <c r="K469" s="1" t="s">
        <v>24</v>
      </c>
      <c r="L469" t="s">
        <v>60</v>
      </c>
      <c r="M469" s="1" t="s">
        <v>48</v>
      </c>
      <c r="N469" s="1">
        <v>2018</v>
      </c>
      <c r="O469" t="str" cm="1">
        <f t="array" ref="O469">_xlfn.IFS(OR($K469="Ghana", $K469="Nigeria"), "Anglophone", OR($K469="Togo", $K469="Benin", $K469="Senegal"), "Francophone")</f>
        <v>Francophone</v>
      </c>
      <c r="P469" s="1" t="str">
        <f>LEFT(Int_breweries[[#This Row],[MONTHS]], 3)</f>
        <v>Dec</v>
      </c>
    </row>
    <row r="470" spans="1:16" ht="12.5" x14ac:dyDescent="0.25">
      <c r="A470" s="1">
        <v>10569</v>
      </c>
      <c r="B470" s="1" t="s">
        <v>30</v>
      </c>
      <c r="C470" s="1" t="s">
        <v>31</v>
      </c>
      <c r="D470" t="s">
        <v>69</v>
      </c>
      <c r="E470" s="1">
        <v>90</v>
      </c>
      <c r="F470" s="1">
        <v>150</v>
      </c>
      <c r="G470" s="1">
        <v>719</v>
      </c>
      <c r="H470" s="1">
        <f>Int_breweries[[#This Row],[PLANT_COST]]*Int_breweries[[#This Row],[QUANTITY]]</f>
        <v>64710</v>
      </c>
      <c r="I470" s="1">
        <v>107850</v>
      </c>
      <c r="J470" s="1">
        <v>43140</v>
      </c>
      <c r="K470" s="1" t="s">
        <v>28</v>
      </c>
      <c r="L470" t="s">
        <v>61</v>
      </c>
      <c r="M470" s="1" t="s">
        <v>16</v>
      </c>
      <c r="N470" s="1">
        <v>2017</v>
      </c>
      <c r="O470" t="str" cm="1">
        <f t="array" ref="O470">_xlfn.IFS(OR($K470="Ghana", $K470="Nigeria"), "Anglophone", OR($K470="Togo", $K470="Benin", $K470="Senegal"), "Francophone")</f>
        <v>Francophone</v>
      </c>
      <c r="P470" s="1" t="str">
        <f>LEFT(Int_breweries[[#This Row],[MONTHS]], 3)</f>
        <v>Jan</v>
      </c>
    </row>
    <row r="471" spans="1:16" ht="12.5" x14ac:dyDescent="0.25">
      <c r="A471" s="1">
        <v>10570</v>
      </c>
      <c r="B471" s="1" t="s">
        <v>12</v>
      </c>
      <c r="C471" s="1" t="s">
        <v>13</v>
      </c>
      <c r="D471" t="s">
        <v>63</v>
      </c>
      <c r="E471" s="1">
        <v>150</v>
      </c>
      <c r="F471" s="1">
        <v>200</v>
      </c>
      <c r="G471" s="1">
        <v>875</v>
      </c>
      <c r="H471" s="1">
        <f>Int_breweries[[#This Row],[PLANT_COST]]*Int_breweries[[#This Row],[QUANTITY]]</f>
        <v>131250</v>
      </c>
      <c r="I471" s="1">
        <v>175000</v>
      </c>
      <c r="J471" s="1">
        <v>43750</v>
      </c>
      <c r="K471" s="1" t="s">
        <v>32</v>
      </c>
      <c r="L471" t="s">
        <v>62</v>
      </c>
      <c r="M471" s="1" t="s">
        <v>21</v>
      </c>
      <c r="N471" s="1">
        <v>2018</v>
      </c>
      <c r="O471" t="str" cm="1">
        <f t="array" ref="O471">_xlfn.IFS(OR($K471="Ghana", $K471="Nigeria"), "Anglophone", OR($K471="Togo", $K471="Benin", $K471="Senegal"), "Francophone")</f>
        <v>Francophone</v>
      </c>
      <c r="P471" s="1" t="str">
        <f>LEFT(Int_breweries[[#This Row],[MONTHS]], 3)</f>
        <v>Feb</v>
      </c>
    </row>
    <row r="472" spans="1:16" ht="12.5" x14ac:dyDescent="0.25">
      <c r="A472" s="1">
        <v>10571</v>
      </c>
      <c r="B472" s="1" t="s">
        <v>17</v>
      </c>
      <c r="C472" s="1" t="s">
        <v>18</v>
      </c>
      <c r="D472" t="s">
        <v>64</v>
      </c>
      <c r="E472" s="1">
        <v>250</v>
      </c>
      <c r="F472" s="1">
        <v>500</v>
      </c>
      <c r="G472" s="1">
        <v>762</v>
      </c>
      <c r="H472" s="1">
        <f>Int_breweries[[#This Row],[PLANT_COST]]*Int_breweries[[#This Row],[QUANTITY]]</f>
        <v>190500</v>
      </c>
      <c r="I472" s="1">
        <v>381000</v>
      </c>
      <c r="J472" s="1">
        <v>190500</v>
      </c>
      <c r="K472" s="1" t="s">
        <v>14</v>
      </c>
      <c r="L472" t="s">
        <v>15</v>
      </c>
      <c r="M472" s="1" t="s">
        <v>25</v>
      </c>
      <c r="N472" s="1">
        <v>2017</v>
      </c>
      <c r="O472" t="str" cm="1">
        <f t="array" ref="O472">_xlfn.IFS(OR($K472="Ghana", $K472="Nigeria"), "Anglophone", OR($K472="Togo", $K472="Benin", $K472="Senegal"), "Francophone")</f>
        <v>Anglophone</v>
      </c>
      <c r="P472" s="1" t="str">
        <f>LEFT(Int_breweries[[#This Row],[MONTHS]], 3)</f>
        <v>Mar</v>
      </c>
    </row>
    <row r="473" spans="1:16" ht="12.5" x14ac:dyDescent="0.25">
      <c r="A473" s="1">
        <v>10572</v>
      </c>
      <c r="B473" s="1" t="s">
        <v>22</v>
      </c>
      <c r="C473" s="1" t="s">
        <v>23</v>
      </c>
      <c r="D473" t="s">
        <v>65</v>
      </c>
      <c r="E473" s="1">
        <v>180</v>
      </c>
      <c r="F473" s="1">
        <v>450</v>
      </c>
      <c r="G473" s="1">
        <v>964</v>
      </c>
      <c r="H473" s="1">
        <f>Int_breweries[[#This Row],[PLANT_COST]]*Int_breweries[[#This Row],[QUANTITY]]</f>
        <v>173520</v>
      </c>
      <c r="I473" s="1">
        <v>433800</v>
      </c>
      <c r="J473" s="1">
        <v>260280</v>
      </c>
      <c r="K473" s="1" t="s">
        <v>19</v>
      </c>
      <c r="L473" t="s">
        <v>58</v>
      </c>
      <c r="M473" s="1" t="s">
        <v>29</v>
      </c>
      <c r="N473" s="1">
        <v>2017</v>
      </c>
      <c r="O473" t="str" cm="1">
        <f t="array" ref="O473">_xlfn.IFS(OR($K473="Ghana", $K473="Nigeria"), "Anglophone", OR($K473="Togo", $K473="Benin", $K473="Senegal"), "Francophone")</f>
        <v>Anglophone</v>
      </c>
      <c r="P473" s="1" t="str">
        <f>LEFT(Int_breweries[[#This Row],[MONTHS]], 3)</f>
        <v>Apr</v>
      </c>
    </row>
    <row r="474" spans="1:16" ht="12.5" x14ac:dyDescent="0.25">
      <c r="A474" s="1">
        <v>10573</v>
      </c>
      <c r="B474" s="1" t="s">
        <v>26</v>
      </c>
      <c r="C474" s="1" t="s">
        <v>27</v>
      </c>
      <c r="D474" t="s">
        <v>66</v>
      </c>
      <c r="E474" s="1">
        <v>170</v>
      </c>
      <c r="F474" s="1">
        <v>250</v>
      </c>
      <c r="G474" s="1">
        <v>931</v>
      </c>
      <c r="H474" s="1">
        <f>Int_breweries[[#This Row],[PLANT_COST]]*Int_breweries[[#This Row],[QUANTITY]]</f>
        <v>158270</v>
      </c>
      <c r="I474" s="1">
        <v>232750</v>
      </c>
      <c r="J474" s="1">
        <v>74480</v>
      </c>
      <c r="K474" s="1" t="s">
        <v>24</v>
      </c>
      <c r="L474" t="s">
        <v>59</v>
      </c>
      <c r="M474" s="1" t="s">
        <v>33</v>
      </c>
      <c r="N474" s="1">
        <v>2018</v>
      </c>
      <c r="O474" t="str" cm="1">
        <f t="array" ref="O474">_xlfn.IFS(OR($K474="Ghana", $K474="Nigeria"), "Anglophone", OR($K474="Togo", $K474="Benin", $K474="Senegal"), "Francophone")</f>
        <v>Francophone</v>
      </c>
      <c r="P474" s="1" t="str">
        <f>LEFT(Int_breweries[[#This Row],[MONTHS]], 3)</f>
        <v>May</v>
      </c>
    </row>
    <row r="475" spans="1:16" ht="12.5" x14ac:dyDescent="0.25">
      <c r="A475" s="1">
        <v>10574</v>
      </c>
      <c r="B475" s="1" t="s">
        <v>30</v>
      </c>
      <c r="C475" s="1" t="s">
        <v>31</v>
      </c>
      <c r="D475" t="s">
        <v>67</v>
      </c>
      <c r="E475" s="1">
        <v>150</v>
      </c>
      <c r="F475" s="1">
        <v>200</v>
      </c>
      <c r="G475" s="1">
        <v>766</v>
      </c>
      <c r="H475" s="1">
        <f>Int_breweries[[#This Row],[PLANT_COST]]*Int_breweries[[#This Row],[QUANTITY]]</f>
        <v>114900</v>
      </c>
      <c r="I475" s="1">
        <v>153200</v>
      </c>
      <c r="J475" s="1">
        <v>38300</v>
      </c>
      <c r="K475" s="1" t="s">
        <v>28</v>
      </c>
      <c r="L475" t="s">
        <v>60</v>
      </c>
      <c r="M475" s="1" t="s">
        <v>34</v>
      </c>
      <c r="N475" s="1">
        <v>2019</v>
      </c>
      <c r="O475" t="str" cm="1">
        <f t="array" ref="O475">_xlfn.IFS(OR($K475="Ghana", $K475="Nigeria"), "Anglophone", OR($K475="Togo", $K475="Benin", $K475="Senegal"), "Francophone")</f>
        <v>Francophone</v>
      </c>
      <c r="P475" s="1" t="str">
        <f>LEFT(Int_breweries[[#This Row],[MONTHS]], 3)</f>
        <v>Jun</v>
      </c>
    </row>
    <row r="476" spans="1:16" ht="12.5" x14ac:dyDescent="0.25">
      <c r="A476" s="1">
        <v>10575</v>
      </c>
      <c r="B476" s="1" t="s">
        <v>12</v>
      </c>
      <c r="C476" s="1" t="s">
        <v>13</v>
      </c>
      <c r="D476" t="s">
        <v>68</v>
      </c>
      <c r="E476" s="1">
        <v>80</v>
      </c>
      <c r="F476" s="1">
        <v>150</v>
      </c>
      <c r="G476" s="1">
        <v>746</v>
      </c>
      <c r="H476" s="1">
        <f>Int_breweries[[#This Row],[PLANT_COST]]*Int_breweries[[#This Row],[QUANTITY]]</f>
        <v>59680</v>
      </c>
      <c r="I476" s="1">
        <v>111900</v>
      </c>
      <c r="J476" s="1">
        <v>52220</v>
      </c>
      <c r="K476" s="1" t="s">
        <v>32</v>
      </c>
      <c r="L476" t="s">
        <v>61</v>
      </c>
      <c r="M476" s="1" t="s">
        <v>37</v>
      </c>
      <c r="N476" s="1">
        <v>2018</v>
      </c>
      <c r="O476" t="str" cm="1">
        <f t="array" ref="O476">_xlfn.IFS(OR($K476="Ghana", $K476="Nigeria"), "Anglophone", OR($K476="Togo", $K476="Benin", $K476="Senegal"), "Francophone")</f>
        <v>Francophone</v>
      </c>
      <c r="P476" s="1" t="str">
        <f>LEFT(Int_breweries[[#This Row],[MONTHS]], 3)</f>
        <v>Jul</v>
      </c>
    </row>
    <row r="477" spans="1:16" ht="12.5" x14ac:dyDescent="0.25">
      <c r="A477" s="1">
        <v>10576</v>
      </c>
      <c r="B477" s="1" t="s">
        <v>35</v>
      </c>
      <c r="C477" s="1" t="s">
        <v>36</v>
      </c>
      <c r="D477" t="s">
        <v>69</v>
      </c>
      <c r="E477" s="1">
        <v>90</v>
      </c>
      <c r="F477" s="1">
        <v>150</v>
      </c>
      <c r="G477" s="1">
        <v>942</v>
      </c>
      <c r="H477" s="1">
        <f>Int_breweries[[#This Row],[PLANT_COST]]*Int_breweries[[#This Row],[QUANTITY]]</f>
        <v>84780</v>
      </c>
      <c r="I477" s="1">
        <v>141300</v>
      </c>
      <c r="J477" s="1">
        <v>56520</v>
      </c>
      <c r="K477" s="1" t="s">
        <v>14</v>
      </c>
      <c r="L477" t="s">
        <v>62</v>
      </c>
      <c r="M477" s="1" t="s">
        <v>38</v>
      </c>
      <c r="N477" s="1">
        <v>2017</v>
      </c>
      <c r="O477" t="str" cm="1">
        <f t="array" ref="O477">_xlfn.IFS(OR($K477="Ghana", $K477="Nigeria"), "Anglophone", OR($K477="Togo", $K477="Benin", $K477="Senegal"), "Francophone")</f>
        <v>Anglophone</v>
      </c>
      <c r="P477" s="1" t="str">
        <f>LEFT(Int_breweries[[#This Row],[MONTHS]], 3)</f>
        <v>Aug</v>
      </c>
    </row>
    <row r="478" spans="1:16" ht="12.5" x14ac:dyDescent="0.25">
      <c r="A478" s="1">
        <v>10577</v>
      </c>
      <c r="B478" s="1" t="s">
        <v>26</v>
      </c>
      <c r="C478" s="1" t="s">
        <v>27</v>
      </c>
      <c r="D478" t="s">
        <v>63</v>
      </c>
      <c r="E478" s="1">
        <v>150</v>
      </c>
      <c r="F478" s="1">
        <v>200</v>
      </c>
      <c r="G478" s="1">
        <v>724</v>
      </c>
      <c r="H478" s="1">
        <f>Int_breweries[[#This Row],[PLANT_COST]]*Int_breweries[[#This Row],[QUANTITY]]</f>
        <v>108600</v>
      </c>
      <c r="I478" s="1">
        <v>144800</v>
      </c>
      <c r="J478" s="1">
        <v>36200</v>
      </c>
      <c r="K478" s="1" t="s">
        <v>19</v>
      </c>
      <c r="L478" t="s">
        <v>15</v>
      </c>
      <c r="M478" s="1" t="s">
        <v>41</v>
      </c>
      <c r="N478" s="1">
        <v>2019</v>
      </c>
      <c r="O478" t="str" cm="1">
        <f t="array" ref="O478">_xlfn.IFS(OR($K478="Ghana", $K478="Nigeria"), "Anglophone", OR($K478="Togo", $K478="Benin", $K478="Senegal"), "Francophone")</f>
        <v>Anglophone</v>
      </c>
      <c r="P478" s="1" t="str">
        <f>LEFT(Int_breweries[[#This Row],[MONTHS]], 3)</f>
        <v>Sep</v>
      </c>
    </row>
    <row r="479" spans="1:16" ht="12.5" x14ac:dyDescent="0.25">
      <c r="A479" s="1">
        <v>10578</v>
      </c>
      <c r="B479" s="1" t="s">
        <v>39</v>
      </c>
      <c r="C479" s="1" t="s">
        <v>40</v>
      </c>
      <c r="D479" t="s">
        <v>64</v>
      </c>
      <c r="E479" s="1">
        <v>250</v>
      </c>
      <c r="F479" s="1">
        <v>500</v>
      </c>
      <c r="G479" s="1">
        <v>887</v>
      </c>
      <c r="H479" s="1">
        <f>Int_breweries[[#This Row],[PLANT_COST]]*Int_breweries[[#This Row],[QUANTITY]]</f>
        <v>221750</v>
      </c>
      <c r="I479" s="1">
        <v>443500</v>
      </c>
      <c r="J479" s="1">
        <v>221750</v>
      </c>
      <c r="K479" s="1" t="s">
        <v>24</v>
      </c>
      <c r="L479" t="s">
        <v>58</v>
      </c>
      <c r="M479" s="1" t="s">
        <v>44</v>
      </c>
      <c r="N479" s="1">
        <v>2018</v>
      </c>
      <c r="O479" t="str" cm="1">
        <f t="array" ref="O479">_xlfn.IFS(OR($K479="Ghana", $K479="Nigeria"), "Anglophone", OR($K479="Togo", $K479="Benin", $K479="Senegal"), "Francophone")</f>
        <v>Francophone</v>
      </c>
      <c r="P479" s="1" t="str">
        <f>LEFT(Int_breweries[[#This Row],[MONTHS]], 3)</f>
        <v>Oct</v>
      </c>
    </row>
    <row r="480" spans="1:16" ht="12.5" x14ac:dyDescent="0.25">
      <c r="A480" s="1">
        <v>10579</v>
      </c>
      <c r="B480" s="1" t="s">
        <v>42</v>
      </c>
      <c r="C480" s="1" t="s">
        <v>43</v>
      </c>
      <c r="D480" t="s">
        <v>65</v>
      </c>
      <c r="E480" s="1">
        <v>180</v>
      </c>
      <c r="F480" s="1">
        <v>450</v>
      </c>
      <c r="G480" s="1">
        <v>703</v>
      </c>
      <c r="H480" s="1">
        <f>Int_breweries[[#This Row],[PLANT_COST]]*Int_breweries[[#This Row],[QUANTITY]]</f>
        <v>126540</v>
      </c>
      <c r="I480" s="1">
        <v>316350</v>
      </c>
      <c r="J480" s="1">
        <v>189810</v>
      </c>
      <c r="K480" s="1" t="s">
        <v>28</v>
      </c>
      <c r="L480" t="s">
        <v>59</v>
      </c>
      <c r="M480" s="1" t="s">
        <v>47</v>
      </c>
      <c r="N480" s="1">
        <v>2017</v>
      </c>
      <c r="O480" t="str" cm="1">
        <f t="array" ref="O480">_xlfn.IFS(OR($K480="Ghana", $K480="Nigeria"), "Anglophone", OR($K480="Togo", $K480="Benin", $K480="Senegal"), "Francophone")</f>
        <v>Francophone</v>
      </c>
      <c r="P480" s="1" t="str">
        <f>LEFT(Int_breweries[[#This Row],[MONTHS]], 3)</f>
        <v>Nov</v>
      </c>
    </row>
    <row r="481" spans="1:16" ht="12.5" x14ac:dyDescent="0.25">
      <c r="A481" s="1">
        <v>10580</v>
      </c>
      <c r="B481" s="1" t="s">
        <v>45</v>
      </c>
      <c r="C481" s="1" t="s">
        <v>46</v>
      </c>
      <c r="D481" t="s">
        <v>66</v>
      </c>
      <c r="E481" s="1">
        <v>170</v>
      </c>
      <c r="F481" s="1">
        <v>250</v>
      </c>
      <c r="G481" s="1">
        <v>930</v>
      </c>
      <c r="H481" s="1">
        <f>Int_breweries[[#This Row],[PLANT_COST]]*Int_breweries[[#This Row],[QUANTITY]]</f>
        <v>158100</v>
      </c>
      <c r="I481" s="1">
        <v>232500</v>
      </c>
      <c r="J481" s="1">
        <v>74400</v>
      </c>
      <c r="K481" s="1" t="s">
        <v>32</v>
      </c>
      <c r="L481" t="s">
        <v>60</v>
      </c>
      <c r="M481" s="1" t="s">
        <v>48</v>
      </c>
      <c r="N481" s="1">
        <v>2018</v>
      </c>
      <c r="O481" t="str" cm="1">
        <f t="array" ref="O481">_xlfn.IFS(OR($K481="Ghana", $K481="Nigeria"), "Anglophone", OR($K481="Togo", $K481="Benin", $K481="Senegal"), "Francophone")</f>
        <v>Francophone</v>
      </c>
      <c r="P481" s="1" t="str">
        <f>LEFT(Int_breweries[[#This Row],[MONTHS]], 3)</f>
        <v>Dec</v>
      </c>
    </row>
    <row r="482" spans="1:16" ht="12.5" x14ac:dyDescent="0.25">
      <c r="A482" s="1">
        <v>10581</v>
      </c>
      <c r="B482" s="1" t="s">
        <v>26</v>
      </c>
      <c r="C482" s="1" t="s">
        <v>27</v>
      </c>
      <c r="D482" t="s">
        <v>67</v>
      </c>
      <c r="E482" s="1">
        <v>150</v>
      </c>
      <c r="F482" s="1">
        <v>200</v>
      </c>
      <c r="G482" s="1">
        <v>867</v>
      </c>
      <c r="H482" s="1">
        <f>Int_breweries[[#This Row],[PLANT_COST]]*Int_breweries[[#This Row],[QUANTITY]]</f>
        <v>130050</v>
      </c>
      <c r="I482" s="1">
        <v>173400</v>
      </c>
      <c r="J482" s="1">
        <v>43350</v>
      </c>
      <c r="K482" s="1" t="s">
        <v>14</v>
      </c>
      <c r="L482" t="s">
        <v>61</v>
      </c>
      <c r="M482" s="1" t="s">
        <v>16</v>
      </c>
      <c r="N482" s="1">
        <v>2017</v>
      </c>
      <c r="O482" t="str" cm="1">
        <f t="array" ref="O482">_xlfn.IFS(OR($K482="Ghana", $K482="Nigeria"), "Anglophone", OR($K482="Togo", $K482="Benin", $K482="Senegal"), "Francophone")</f>
        <v>Anglophone</v>
      </c>
      <c r="P482" s="1" t="str">
        <f>LEFT(Int_breweries[[#This Row],[MONTHS]], 3)</f>
        <v>Jan</v>
      </c>
    </row>
    <row r="483" spans="1:16" ht="12.5" x14ac:dyDescent="0.25">
      <c r="A483" s="1">
        <v>10582</v>
      </c>
      <c r="B483" s="1" t="s">
        <v>49</v>
      </c>
      <c r="C483" s="1" t="s">
        <v>50</v>
      </c>
      <c r="D483" t="s">
        <v>68</v>
      </c>
      <c r="E483" s="1">
        <v>80</v>
      </c>
      <c r="F483" s="1">
        <v>150</v>
      </c>
      <c r="G483" s="1">
        <v>853</v>
      </c>
      <c r="H483" s="1">
        <f>Int_breweries[[#This Row],[PLANT_COST]]*Int_breweries[[#This Row],[QUANTITY]]</f>
        <v>68240</v>
      </c>
      <c r="I483" s="1">
        <v>127950</v>
      </c>
      <c r="J483" s="1">
        <v>59710</v>
      </c>
      <c r="K483" s="1" t="s">
        <v>19</v>
      </c>
      <c r="L483" t="s">
        <v>62</v>
      </c>
      <c r="M483" s="1" t="s">
        <v>21</v>
      </c>
      <c r="N483" s="1">
        <v>2018</v>
      </c>
      <c r="O483" t="str" cm="1">
        <f t="array" ref="O483">_xlfn.IFS(OR($K483="Ghana", $K483="Nigeria"), "Anglophone", OR($K483="Togo", $K483="Benin", $K483="Senegal"), "Francophone")</f>
        <v>Anglophone</v>
      </c>
      <c r="P483" s="1" t="str">
        <f>LEFT(Int_breweries[[#This Row],[MONTHS]], 3)</f>
        <v>Feb</v>
      </c>
    </row>
    <row r="484" spans="1:16" ht="12.5" x14ac:dyDescent="0.25">
      <c r="A484" s="1">
        <v>10583</v>
      </c>
      <c r="B484" s="1" t="s">
        <v>26</v>
      </c>
      <c r="C484" s="1" t="s">
        <v>27</v>
      </c>
      <c r="D484" t="s">
        <v>69</v>
      </c>
      <c r="E484" s="1">
        <v>90</v>
      </c>
      <c r="F484" s="1">
        <v>150</v>
      </c>
      <c r="G484" s="1">
        <v>794</v>
      </c>
      <c r="H484" s="1">
        <f>Int_breweries[[#This Row],[PLANT_COST]]*Int_breweries[[#This Row],[QUANTITY]]</f>
        <v>71460</v>
      </c>
      <c r="I484" s="1">
        <v>119100</v>
      </c>
      <c r="J484" s="1">
        <v>47640</v>
      </c>
      <c r="K484" s="1" t="s">
        <v>24</v>
      </c>
      <c r="L484" t="s">
        <v>15</v>
      </c>
      <c r="M484" s="1" t="s">
        <v>25</v>
      </c>
      <c r="N484" s="1">
        <v>2018</v>
      </c>
      <c r="O484" t="str" cm="1">
        <f t="array" ref="O484">_xlfn.IFS(OR($K484="Ghana", $K484="Nigeria"), "Anglophone", OR($K484="Togo", $K484="Benin", $K484="Senegal"), "Francophone")</f>
        <v>Francophone</v>
      </c>
      <c r="P484" s="1" t="str">
        <f>LEFT(Int_breweries[[#This Row],[MONTHS]], 3)</f>
        <v>Mar</v>
      </c>
    </row>
    <row r="485" spans="1:16" ht="12.5" x14ac:dyDescent="0.25">
      <c r="A485" s="1">
        <v>10584</v>
      </c>
      <c r="B485" s="1" t="s">
        <v>39</v>
      </c>
      <c r="C485" s="1" t="s">
        <v>40</v>
      </c>
      <c r="D485" t="s">
        <v>63</v>
      </c>
      <c r="E485" s="1">
        <v>150</v>
      </c>
      <c r="F485" s="1">
        <v>200</v>
      </c>
      <c r="G485" s="1">
        <v>974</v>
      </c>
      <c r="H485" s="1">
        <f>Int_breweries[[#This Row],[PLANT_COST]]*Int_breweries[[#This Row],[QUANTITY]]</f>
        <v>146100</v>
      </c>
      <c r="I485" s="1">
        <v>194800</v>
      </c>
      <c r="J485" s="1">
        <v>48700</v>
      </c>
      <c r="K485" s="1" t="s">
        <v>28</v>
      </c>
      <c r="L485" t="s">
        <v>58</v>
      </c>
      <c r="M485" s="1" t="s">
        <v>29</v>
      </c>
      <c r="N485" s="1">
        <v>2018</v>
      </c>
      <c r="O485" t="str" cm="1">
        <f t="array" ref="O485">_xlfn.IFS(OR($K485="Ghana", $K485="Nigeria"), "Anglophone", OR($K485="Togo", $K485="Benin", $K485="Senegal"), "Francophone")</f>
        <v>Francophone</v>
      </c>
      <c r="P485" s="1" t="str">
        <f>LEFT(Int_breweries[[#This Row],[MONTHS]], 3)</f>
        <v>Apr</v>
      </c>
    </row>
    <row r="486" spans="1:16" ht="12.5" x14ac:dyDescent="0.25">
      <c r="A486" s="1">
        <v>10585</v>
      </c>
      <c r="B486" s="1" t="s">
        <v>26</v>
      </c>
      <c r="C486" s="1" t="s">
        <v>27</v>
      </c>
      <c r="D486" t="s">
        <v>64</v>
      </c>
      <c r="E486" s="1">
        <v>250</v>
      </c>
      <c r="F486" s="1">
        <v>500</v>
      </c>
      <c r="G486" s="1">
        <v>778</v>
      </c>
      <c r="H486" s="1">
        <f>Int_breweries[[#This Row],[PLANT_COST]]*Int_breweries[[#This Row],[QUANTITY]]</f>
        <v>194500</v>
      </c>
      <c r="I486" s="1">
        <v>389000</v>
      </c>
      <c r="J486" s="1">
        <v>194500</v>
      </c>
      <c r="K486" s="1" t="s">
        <v>32</v>
      </c>
      <c r="L486" t="s">
        <v>59</v>
      </c>
      <c r="M486" s="1" t="s">
        <v>33</v>
      </c>
      <c r="N486" s="1">
        <v>2019</v>
      </c>
      <c r="O486" t="str" cm="1">
        <f t="array" ref="O486">_xlfn.IFS(OR($K486="Ghana", $K486="Nigeria"), "Anglophone", OR($K486="Togo", $K486="Benin", $K486="Senegal"), "Francophone")</f>
        <v>Francophone</v>
      </c>
      <c r="P486" s="1" t="str">
        <f>LEFT(Int_breweries[[#This Row],[MONTHS]], 3)</f>
        <v>May</v>
      </c>
    </row>
    <row r="487" spans="1:16" ht="12.5" x14ac:dyDescent="0.25">
      <c r="A487" s="1">
        <v>10586</v>
      </c>
      <c r="B487" s="1" t="s">
        <v>45</v>
      </c>
      <c r="C487" s="1" t="s">
        <v>46</v>
      </c>
      <c r="D487" t="s">
        <v>65</v>
      </c>
      <c r="E487" s="1">
        <v>180</v>
      </c>
      <c r="F487" s="1">
        <v>450</v>
      </c>
      <c r="G487" s="1">
        <v>939</v>
      </c>
      <c r="H487" s="1">
        <f>Int_breweries[[#This Row],[PLANT_COST]]*Int_breweries[[#This Row],[QUANTITY]]</f>
        <v>169020</v>
      </c>
      <c r="I487" s="1">
        <v>422550</v>
      </c>
      <c r="J487" s="1">
        <v>253530</v>
      </c>
      <c r="K487" s="1" t="s">
        <v>14</v>
      </c>
      <c r="L487" t="s">
        <v>60</v>
      </c>
      <c r="M487" s="1" t="s">
        <v>34</v>
      </c>
      <c r="N487" s="1">
        <v>2018</v>
      </c>
      <c r="O487" t="str" cm="1">
        <f t="array" ref="O487">_xlfn.IFS(OR($K487="Ghana", $K487="Nigeria"), "Anglophone", OR($K487="Togo", $K487="Benin", $K487="Senegal"), "Francophone")</f>
        <v>Anglophone</v>
      </c>
      <c r="P487" s="1" t="str">
        <f>LEFT(Int_breweries[[#This Row],[MONTHS]], 3)</f>
        <v>Jun</v>
      </c>
    </row>
    <row r="488" spans="1:16" ht="12.5" x14ac:dyDescent="0.25">
      <c r="A488" s="1">
        <v>10587</v>
      </c>
      <c r="B488" s="1" t="s">
        <v>51</v>
      </c>
      <c r="C488" s="1" t="s">
        <v>52</v>
      </c>
      <c r="D488" t="s">
        <v>66</v>
      </c>
      <c r="E488" s="1">
        <v>170</v>
      </c>
      <c r="F488" s="1">
        <v>250</v>
      </c>
      <c r="G488" s="1">
        <v>763</v>
      </c>
      <c r="H488" s="1">
        <f>Int_breweries[[#This Row],[PLANT_COST]]*Int_breweries[[#This Row],[QUANTITY]]</f>
        <v>129710</v>
      </c>
      <c r="I488" s="1">
        <v>190750</v>
      </c>
      <c r="J488" s="1">
        <v>61040</v>
      </c>
      <c r="K488" s="1" t="s">
        <v>19</v>
      </c>
      <c r="L488" t="s">
        <v>61</v>
      </c>
      <c r="M488" s="1" t="s">
        <v>37</v>
      </c>
      <c r="N488" s="1">
        <v>2017</v>
      </c>
      <c r="O488" t="str" cm="1">
        <f t="array" ref="O488">_xlfn.IFS(OR($K488="Ghana", $K488="Nigeria"), "Anglophone", OR($K488="Togo", $K488="Benin", $K488="Senegal"), "Francophone")</f>
        <v>Anglophone</v>
      </c>
      <c r="P488" s="1" t="str">
        <f>LEFT(Int_breweries[[#This Row],[MONTHS]], 3)</f>
        <v>Jul</v>
      </c>
    </row>
    <row r="489" spans="1:16" ht="12.5" x14ac:dyDescent="0.25">
      <c r="A489" s="1">
        <v>10588</v>
      </c>
      <c r="B489" s="1" t="s">
        <v>49</v>
      </c>
      <c r="C489" s="1" t="s">
        <v>50</v>
      </c>
      <c r="D489" t="s">
        <v>67</v>
      </c>
      <c r="E489" s="1">
        <v>150</v>
      </c>
      <c r="F489" s="1">
        <v>200</v>
      </c>
      <c r="G489" s="1">
        <v>970</v>
      </c>
      <c r="H489" s="1">
        <f>Int_breweries[[#This Row],[PLANT_COST]]*Int_breweries[[#This Row],[QUANTITY]]</f>
        <v>145500</v>
      </c>
      <c r="I489" s="1">
        <v>194000</v>
      </c>
      <c r="J489" s="1">
        <v>48500</v>
      </c>
      <c r="K489" s="1" t="s">
        <v>24</v>
      </c>
      <c r="L489" t="s">
        <v>62</v>
      </c>
      <c r="M489" s="1" t="s">
        <v>38</v>
      </c>
      <c r="N489" s="1">
        <v>2019</v>
      </c>
      <c r="O489" t="str" cm="1">
        <f t="array" ref="O489">_xlfn.IFS(OR($K489="Ghana", $K489="Nigeria"), "Anglophone", OR($K489="Togo", $K489="Benin", $K489="Senegal"), "Francophone")</f>
        <v>Francophone</v>
      </c>
      <c r="P489" s="1" t="str">
        <f>LEFT(Int_breweries[[#This Row],[MONTHS]], 3)</f>
        <v>Aug</v>
      </c>
    </row>
    <row r="490" spans="1:16" ht="12.5" x14ac:dyDescent="0.25">
      <c r="A490" s="1">
        <v>10589</v>
      </c>
      <c r="B490" s="1" t="s">
        <v>45</v>
      </c>
      <c r="C490" s="1" t="s">
        <v>46</v>
      </c>
      <c r="D490" t="s">
        <v>68</v>
      </c>
      <c r="E490" s="1">
        <v>80</v>
      </c>
      <c r="F490" s="1">
        <v>150</v>
      </c>
      <c r="G490" s="1">
        <v>808</v>
      </c>
      <c r="H490" s="1">
        <f>Int_breweries[[#This Row],[PLANT_COST]]*Int_breweries[[#This Row],[QUANTITY]]</f>
        <v>64640</v>
      </c>
      <c r="I490" s="1">
        <v>121200</v>
      </c>
      <c r="J490" s="1">
        <v>56560</v>
      </c>
      <c r="K490" s="1" t="s">
        <v>28</v>
      </c>
      <c r="L490" t="s">
        <v>15</v>
      </c>
      <c r="M490" s="1" t="s">
        <v>41</v>
      </c>
      <c r="N490" s="1">
        <v>2017</v>
      </c>
      <c r="O490" t="str" cm="1">
        <f t="array" ref="O490">_xlfn.IFS(OR($K490="Ghana", $K490="Nigeria"), "Anglophone", OR($K490="Togo", $K490="Benin", $K490="Senegal"), "Francophone")</f>
        <v>Francophone</v>
      </c>
      <c r="P490" s="1" t="str">
        <f>LEFT(Int_breweries[[#This Row],[MONTHS]], 3)</f>
        <v>Sep</v>
      </c>
    </row>
    <row r="491" spans="1:16" ht="12.5" x14ac:dyDescent="0.25">
      <c r="A491" s="1">
        <v>10590</v>
      </c>
      <c r="B491" s="1" t="s">
        <v>17</v>
      </c>
      <c r="C491" s="1" t="s">
        <v>18</v>
      </c>
      <c r="D491" t="s">
        <v>69</v>
      </c>
      <c r="E491" s="1">
        <v>90</v>
      </c>
      <c r="F491" s="1">
        <v>150</v>
      </c>
      <c r="G491" s="1">
        <v>952</v>
      </c>
      <c r="H491" s="1">
        <f>Int_breweries[[#This Row],[PLANT_COST]]*Int_breweries[[#This Row],[QUANTITY]]</f>
        <v>85680</v>
      </c>
      <c r="I491" s="1">
        <v>142800</v>
      </c>
      <c r="J491" s="1">
        <v>57120</v>
      </c>
      <c r="K491" s="1" t="s">
        <v>32</v>
      </c>
      <c r="L491" t="s">
        <v>58</v>
      </c>
      <c r="M491" s="1" t="s">
        <v>44</v>
      </c>
      <c r="N491" s="1">
        <v>2019</v>
      </c>
      <c r="O491" t="str" cm="1">
        <f t="array" ref="O491">_xlfn.IFS(OR($K491="Ghana", $K491="Nigeria"), "Anglophone", OR($K491="Togo", $K491="Benin", $K491="Senegal"), "Francophone")</f>
        <v>Francophone</v>
      </c>
      <c r="P491" s="1" t="str">
        <f>LEFT(Int_breweries[[#This Row],[MONTHS]], 3)</f>
        <v>Oct</v>
      </c>
    </row>
    <row r="492" spans="1:16" ht="12.5" x14ac:dyDescent="0.25">
      <c r="A492" s="1">
        <v>10591</v>
      </c>
      <c r="B492" s="1" t="s">
        <v>49</v>
      </c>
      <c r="C492" s="1" t="s">
        <v>50</v>
      </c>
      <c r="D492" t="s">
        <v>63</v>
      </c>
      <c r="E492" s="1">
        <v>150</v>
      </c>
      <c r="F492" s="1">
        <v>200</v>
      </c>
      <c r="G492" s="1">
        <v>918</v>
      </c>
      <c r="H492" s="1">
        <f>Int_breweries[[#This Row],[PLANT_COST]]*Int_breweries[[#This Row],[QUANTITY]]</f>
        <v>137700</v>
      </c>
      <c r="I492" s="1">
        <v>183600</v>
      </c>
      <c r="J492" s="1">
        <v>45900</v>
      </c>
      <c r="K492" s="1" t="s">
        <v>14</v>
      </c>
      <c r="L492" t="s">
        <v>59</v>
      </c>
      <c r="M492" s="1" t="s">
        <v>47</v>
      </c>
      <c r="N492" s="1">
        <v>2019</v>
      </c>
      <c r="O492" t="str" cm="1">
        <f t="array" ref="O492">_xlfn.IFS(OR($K492="Ghana", $K492="Nigeria"), "Anglophone", OR($K492="Togo", $K492="Benin", $K492="Senegal"), "Francophone")</f>
        <v>Anglophone</v>
      </c>
      <c r="P492" s="1" t="str">
        <f>LEFT(Int_breweries[[#This Row],[MONTHS]], 3)</f>
        <v>Nov</v>
      </c>
    </row>
    <row r="493" spans="1:16" ht="12.5" x14ac:dyDescent="0.25">
      <c r="A493" s="1">
        <v>10592</v>
      </c>
      <c r="B493" s="1" t="s">
        <v>26</v>
      </c>
      <c r="C493" s="1" t="s">
        <v>27</v>
      </c>
      <c r="D493" t="s">
        <v>64</v>
      </c>
      <c r="E493" s="1">
        <v>250</v>
      </c>
      <c r="F493" s="1">
        <v>500</v>
      </c>
      <c r="G493" s="1">
        <v>934</v>
      </c>
      <c r="H493" s="1">
        <f>Int_breweries[[#This Row],[PLANT_COST]]*Int_breweries[[#This Row],[QUANTITY]]</f>
        <v>233500</v>
      </c>
      <c r="I493" s="1">
        <v>467000</v>
      </c>
      <c r="J493" s="1">
        <v>233500</v>
      </c>
      <c r="K493" s="1" t="s">
        <v>19</v>
      </c>
      <c r="L493" t="s">
        <v>60</v>
      </c>
      <c r="M493" s="1" t="s">
        <v>48</v>
      </c>
      <c r="N493" s="1">
        <v>2018</v>
      </c>
      <c r="O493" t="str" cm="1">
        <f t="array" ref="O493">_xlfn.IFS(OR($K493="Ghana", $K493="Nigeria"), "Anglophone", OR($K493="Togo", $K493="Benin", $K493="Senegal"), "Francophone")</f>
        <v>Anglophone</v>
      </c>
      <c r="P493" s="1" t="str">
        <f>LEFT(Int_breweries[[#This Row],[MONTHS]], 3)</f>
        <v>Dec</v>
      </c>
    </row>
    <row r="494" spans="1:16" ht="12.5" x14ac:dyDescent="0.25">
      <c r="A494" s="1">
        <v>10593</v>
      </c>
      <c r="B494" s="1" t="s">
        <v>22</v>
      </c>
      <c r="C494" s="1" t="s">
        <v>23</v>
      </c>
      <c r="D494" t="s">
        <v>65</v>
      </c>
      <c r="E494" s="1">
        <v>180</v>
      </c>
      <c r="F494" s="1">
        <v>450</v>
      </c>
      <c r="G494" s="1">
        <v>753</v>
      </c>
      <c r="H494" s="1">
        <f>Int_breweries[[#This Row],[PLANT_COST]]*Int_breweries[[#This Row],[QUANTITY]]</f>
        <v>135540</v>
      </c>
      <c r="I494" s="1">
        <v>338850</v>
      </c>
      <c r="J494" s="1">
        <v>203310</v>
      </c>
      <c r="K494" s="1" t="s">
        <v>24</v>
      </c>
      <c r="L494" t="s">
        <v>61</v>
      </c>
      <c r="M494" s="1" t="s">
        <v>16</v>
      </c>
      <c r="N494" s="1">
        <v>2019</v>
      </c>
      <c r="O494" t="str" cm="1">
        <f t="array" ref="O494">_xlfn.IFS(OR($K494="Ghana", $K494="Nigeria"), "Anglophone", OR($K494="Togo", $K494="Benin", $K494="Senegal"), "Francophone")</f>
        <v>Francophone</v>
      </c>
      <c r="P494" s="1" t="str">
        <f>LEFT(Int_breweries[[#This Row],[MONTHS]], 3)</f>
        <v>Jan</v>
      </c>
    </row>
    <row r="495" spans="1:16" ht="12.5" x14ac:dyDescent="0.25">
      <c r="A495" s="1">
        <v>10594</v>
      </c>
      <c r="B495" s="1" t="s">
        <v>12</v>
      </c>
      <c r="C495" s="1" t="s">
        <v>13</v>
      </c>
      <c r="D495" t="s">
        <v>66</v>
      </c>
      <c r="E495" s="1">
        <v>170</v>
      </c>
      <c r="F495" s="1">
        <v>250</v>
      </c>
      <c r="G495" s="1">
        <v>740</v>
      </c>
      <c r="H495" s="1">
        <f>Int_breweries[[#This Row],[PLANT_COST]]*Int_breweries[[#This Row],[QUANTITY]]</f>
        <v>125800</v>
      </c>
      <c r="I495" s="1">
        <v>185000</v>
      </c>
      <c r="J495" s="1">
        <v>59200</v>
      </c>
      <c r="K495" s="1" t="s">
        <v>28</v>
      </c>
      <c r="L495" t="s">
        <v>62</v>
      </c>
      <c r="M495" s="1" t="s">
        <v>21</v>
      </c>
      <c r="N495" s="1">
        <v>2018</v>
      </c>
      <c r="O495" t="str" cm="1">
        <f t="array" ref="O495">_xlfn.IFS(OR($K495="Ghana", $K495="Nigeria"), "Anglophone", OR($K495="Togo", $K495="Benin", $K495="Senegal"), "Francophone")</f>
        <v>Francophone</v>
      </c>
      <c r="P495" s="1" t="str">
        <f>LEFT(Int_breweries[[#This Row],[MONTHS]], 3)</f>
        <v>Feb</v>
      </c>
    </row>
    <row r="496" spans="1:16" ht="12.5" x14ac:dyDescent="0.25">
      <c r="A496" s="1">
        <v>10595</v>
      </c>
      <c r="B496" s="1" t="s">
        <v>30</v>
      </c>
      <c r="C496" s="1" t="s">
        <v>31</v>
      </c>
      <c r="D496" t="s">
        <v>67</v>
      </c>
      <c r="E496" s="1">
        <v>150</v>
      </c>
      <c r="F496" s="1">
        <v>200</v>
      </c>
      <c r="G496" s="1">
        <v>829</v>
      </c>
      <c r="H496" s="1">
        <f>Int_breweries[[#This Row],[PLANT_COST]]*Int_breweries[[#This Row],[QUANTITY]]</f>
        <v>124350</v>
      </c>
      <c r="I496" s="1">
        <v>165800</v>
      </c>
      <c r="J496" s="1">
        <v>41450</v>
      </c>
      <c r="K496" s="1" t="s">
        <v>32</v>
      </c>
      <c r="L496" t="s">
        <v>15</v>
      </c>
      <c r="M496" s="1" t="s">
        <v>25</v>
      </c>
      <c r="N496" s="1">
        <v>2018</v>
      </c>
      <c r="O496" t="str" cm="1">
        <f t="array" ref="O496">_xlfn.IFS(OR($K496="Ghana", $K496="Nigeria"), "Anglophone", OR($K496="Togo", $K496="Benin", $K496="Senegal"), "Francophone")</f>
        <v>Francophone</v>
      </c>
      <c r="P496" s="1" t="str">
        <f>LEFT(Int_breweries[[#This Row],[MONTHS]], 3)</f>
        <v>Mar</v>
      </c>
    </row>
    <row r="497" spans="1:16" ht="12.5" x14ac:dyDescent="0.25">
      <c r="A497" s="1">
        <v>10596</v>
      </c>
      <c r="B497" s="1" t="s">
        <v>42</v>
      </c>
      <c r="C497" s="1" t="s">
        <v>43</v>
      </c>
      <c r="D497" t="s">
        <v>68</v>
      </c>
      <c r="E497" s="1">
        <v>80</v>
      </c>
      <c r="F497" s="1">
        <v>150</v>
      </c>
      <c r="G497" s="1">
        <v>977</v>
      </c>
      <c r="H497" s="1">
        <f>Int_breweries[[#This Row],[PLANT_COST]]*Int_breweries[[#This Row],[QUANTITY]]</f>
        <v>78160</v>
      </c>
      <c r="I497" s="1">
        <v>146550</v>
      </c>
      <c r="J497" s="1">
        <v>68390</v>
      </c>
      <c r="K497" s="1" t="s">
        <v>14</v>
      </c>
      <c r="L497" t="s">
        <v>58</v>
      </c>
      <c r="M497" s="1" t="s">
        <v>29</v>
      </c>
      <c r="N497" s="1">
        <v>2018</v>
      </c>
      <c r="O497" t="str" cm="1">
        <f t="array" ref="O497">_xlfn.IFS(OR($K497="Ghana", $K497="Nigeria"), "Anglophone", OR($K497="Togo", $K497="Benin", $K497="Senegal"), "Francophone")</f>
        <v>Anglophone</v>
      </c>
      <c r="P497" s="1" t="str">
        <f>LEFT(Int_breweries[[#This Row],[MONTHS]], 3)</f>
        <v>Apr</v>
      </c>
    </row>
    <row r="498" spans="1:16" ht="12.5" x14ac:dyDescent="0.25">
      <c r="A498" s="1">
        <v>10597</v>
      </c>
      <c r="B498" s="1" t="s">
        <v>17</v>
      </c>
      <c r="C498" s="1" t="s">
        <v>18</v>
      </c>
      <c r="D498" t="s">
        <v>69</v>
      </c>
      <c r="E498" s="1">
        <v>90</v>
      </c>
      <c r="F498" s="1">
        <v>150</v>
      </c>
      <c r="G498" s="1">
        <v>968</v>
      </c>
      <c r="H498" s="1">
        <f>Int_breweries[[#This Row],[PLANT_COST]]*Int_breweries[[#This Row],[QUANTITY]]</f>
        <v>87120</v>
      </c>
      <c r="I498" s="1">
        <v>145200</v>
      </c>
      <c r="J498" s="1">
        <v>58080</v>
      </c>
      <c r="K498" s="1" t="s">
        <v>19</v>
      </c>
      <c r="L498" t="s">
        <v>59</v>
      </c>
      <c r="M498" s="1" t="s">
        <v>33</v>
      </c>
      <c r="N498" s="1">
        <v>2018</v>
      </c>
      <c r="O498" t="str" cm="1">
        <f t="array" ref="O498">_xlfn.IFS(OR($K498="Ghana", $K498="Nigeria"), "Anglophone", OR($K498="Togo", $K498="Benin", $K498="Senegal"), "Francophone")</f>
        <v>Anglophone</v>
      </c>
      <c r="P498" s="1" t="str">
        <f>LEFT(Int_breweries[[#This Row],[MONTHS]], 3)</f>
        <v>May</v>
      </c>
    </row>
    <row r="499" spans="1:16" ht="12.5" x14ac:dyDescent="0.25">
      <c r="A499" s="1">
        <v>10598</v>
      </c>
      <c r="B499" s="1" t="s">
        <v>17</v>
      </c>
      <c r="C499" s="1" t="s">
        <v>18</v>
      </c>
      <c r="D499" t="s">
        <v>63</v>
      </c>
      <c r="E499" s="1">
        <v>150</v>
      </c>
      <c r="F499" s="1">
        <v>200</v>
      </c>
      <c r="G499" s="1">
        <v>797</v>
      </c>
      <c r="H499" s="1">
        <f>Int_breweries[[#This Row],[PLANT_COST]]*Int_breweries[[#This Row],[QUANTITY]]</f>
        <v>119550</v>
      </c>
      <c r="I499" s="1">
        <v>159400</v>
      </c>
      <c r="J499" s="1">
        <v>39850</v>
      </c>
      <c r="K499" s="1" t="s">
        <v>24</v>
      </c>
      <c r="L499" t="s">
        <v>60</v>
      </c>
      <c r="M499" s="1" t="s">
        <v>34</v>
      </c>
      <c r="N499" s="1">
        <v>2017</v>
      </c>
      <c r="O499" t="str" cm="1">
        <f t="array" ref="O499">_xlfn.IFS(OR($K499="Ghana", $K499="Nigeria"), "Anglophone", OR($K499="Togo", $K499="Benin", $K499="Senegal"), "Francophone")</f>
        <v>Francophone</v>
      </c>
      <c r="P499" s="1" t="str">
        <f>LEFT(Int_breweries[[#This Row],[MONTHS]], 3)</f>
        <v>Jun</v>
      </c>
    </row>
    <row r="500" spans="1:16" ht="12.5" x14ac:dyDescent="0.25">
      <c r="A500" s="1">
        <v>10599</v>
      </c>
      <c r="B500" s="1" t="s">
        <v>51</v>
      </c>
      <c r="C500" s="1" t="s">
        <v>52</v>
      </c>
      <c r="D500" t="s">
        <v>64</v>
      </c>
      <c r="E500" s="1">
        <v>250</v>
      </c>
      <c r="F500" s="1">
        <v>500</v>
      </c>
      <c r="G500" s="1">
        <v>926</v>
      </c>
      <c r="H500" s="1">
        <f>Int_breweries[[#This Row],[PLANT_COST]]*Int_breweries[[#This Row],[QUANTITY]]</f>
        <v>231500</v>
      </c>
      <c r="I500" s="1">
        <v>463000</v>
      </c>
      <c r="J500" s="1">
        <v>231500</v>
      </c>
      <c r="K500" s="1" t="s">
        <v>28</v>
      </c>
      <c r="L500" t="s">
        <v>61</v>
      </c>
      <c r="M500" s="1" t="s">
        <v>37</v>
      </c>
      <c r="N500" s="1">
        <v>2018</v>
      </c>
      <c r="O500" t="str" cm="1">
        <f t="array" ref="O500">_xlfn.IFS(OR($K500="Ghana", $K500="Nigeria"), "Anglophone", OR($K500="Togo", $K500="Benin", $K500="Senegal"), "Francophone")</f>
        <v>Francophone</v>
      </c>
      <c r="P500" s="1" t="str">
        <f>LEFT(Int_breweries[[#This Row],[MONTHS]], 3)</f>
        <v>Jul</v>
      </c>
    </row>
    <row r="501" spans="1:16" ht="12.5" x14ac:dyDescent="0.25">
      <c r="A501" s="1">
        <v>10600</v>
      </c>
      <c r="B501" s="1" t="s">
        <v>26</v>
      </c>
      <c r="C501" s="1" t="s">
        <v>27</v>
      </c>
      <c r="D501" t="s">
        <v>65</v>
      </c>
      <c r="E501" s="1">
        <v>180</v>
      </c>
      <c r="F501" s="1">
        <v>450</v>
      </c>
      <c r="G501" s="1">
        <v>925</v>
      </c>
      <c r="H501" s="1">
        <f>Int_breweries[[#This Row],[PLANT_COST]]*Int_breweries[[#This Row],[QUANTITY]]</f>
        <v>166500</v>
      </c>
      <c r="I501" s="1">
        <v>416250</v>
      </c>
      <c r="J501" s="1">
        <v>249750</v>
      </c>
      <c r="K501" s="1" t="s">
        <v>32</v>
      </c>
      <c r="L501" t="s">
        <v>62</v>
      </c>
      <c r="M501" s="1" t="s">
        <v>38</v>
      </c>
      <c r="N501" s="1">
        <v>2019</v>
      </c>
      <c r="O501" t="str" cm="1">
        <f t="array" ref="O501">_xlfn.IFS(OR($K501="Ghana", $K501="Nigeria"), "Anglophone", OR($K501="Togo", $K501="Benin", $K501="Senegal"), "Francophone")</f>
        <v>Francophone</v>
      </c>
      <c r="P501" s="1" t="str">
        <f>LEFT(Int_breweries[[#This Row],[MONTHS]], 3)</f>
        <v>Aug</v>
      </c>
    </row>
    <row r="502" spans="1:16" ht="12.5" x14ac:dyDescent="0.25">
      <c r="A502" s="1">
        <v>10601</v>
      </c>
      <c r="B502" s="1" t="s">
        <v>39</v>
      </c>
      <c r="C502" s="1" t="s">
        <v>40</v>
      </c>
      <c r="D502" t="s">
        <v>66</v>
      </c>
      <c r="E502" s="1">
        <v>170</v>
      </c>
      <c r="F502" s="1">
        <v>250</v>
      </c>
      <c r="G502" s="1">
        <v>911</v>
      </c>
      <c r="H502" s="1">
        <f>Int_breweries[[#This Row],[PLANT_COST]]*Int_breweries[[#This Row],[QUANTITY]]</f>
        <v>154870</v>
      </c>
      <c r="I502" s="1">
        <v>227750</v>
      </c>
      <c r="J502" s="1">
        <v>72880</v>
      </c>
      <c r="K502" s="1" t="s">
        <v>14</v>
      </c>
      <c r="L502" t="s">
        <v>15</v>
      </c>
      <c r="M502" s="1" t="s">
        <v>41</v>
      </c>
      <c r="N502" s="1">
        <v>2017</v>
      </c>
      <c r="O502" t="str" cm="1">
        <f t="array" ref="O502">_xlfn.IFS(OR($K502="Ghana", $K502="Nigeria"), "Anglophone", OR($K502="Togo", $K502="Benin", $K502="Senegal"), "Francophone")</f>
        <v>Anglophone</v>
      </c>
      <c r="P502" s="1" t="str">
        <f>LEFT(Int_breweries[[#This Row],[MONTHS]], 3)</f>
        <v>Sep</v>
      </c>
    </row>
    <row r="503" spans="1:16" ht="12.5" x14ac:dyDescent="0.25">
      <c r="A503" s="1">
        <v>10602</v>
      </c>
      <c r="B503" s="1" t="s">
        <v>51</v>
      </c>
      <c r="C503" s="1" t="s">
        <v>52</v>
      </c>
      <c r="D503" t="s">
        <v>67</v>
      </c>
      <c r="E503" s="1">
        <v>150</v>
      </c>
      <c r="F503" s="1">
        <v>200</v>
      </c>
      <c r="G503" s="1">
        <v>709</v>
      </c>
      <c r="H503" s="1">
        <f>Int_breweries[[#This Row],[PLANT_COST]]*Int_breweries[[#This Row],[QUANTITY]]</f>
        <v>106350</v>
      </c>
      <c r="I503" s="1">
        <v>141800</v>
      </c>
      <c r="J503" s="1">
        <v>35450</v>
      </c>
      <c r="K503" s="1" t="s">
        <v>19</v>
      </c>
      <c r="L503" t="s">
        <v>58</v>
      </c>
      <c r="M503" s="1" t="s">
        <v>44</v>
      </c>
      <c r="N503" s="1">
        <v>2017</v>
      </c>
      <c r="O503" t="str" cm="1">
        <f t="array" ref="O503">_xlfn.IFS(OR($K503="Ghana", $K503="Nigeria"), "Anglophone", OR($K503="Togo", $K503="Benin", $K503="Senegal"), "Francophone")</f>
        <v>Anglophone</v>
      </c>
      <c r="P503" s="1" t="str">
        <f>LEFT(Int_breweries[[#This Row],[MONTHS]], 3)</f>
        <v>Oct</v>
      </c>
    </row>
    <row r="504" spans="1:16" ht="12.5" x14ac:dyDescent="0.25">
      <c r="A504" s="1">
        <v>10603</v>
      </c>
      <c r="B504" s="1" t="s">
        <v>22</v>
      </c>
      <c r="C504" s="1" t="s">
        <v>23</v>
      </c>
      <c r="D504" t="s">
        <v>68</v>
      </c>
      <c r="E504" s="1">
        <v>80</v>
      </c>
      <c r="F504" s="1">
        <v>150</v>
      </c>
      <c r="G504" s="1">
        <v>791</v>
      </c>
      <c r="H504" s="1">
        <f>Int_breweries[[#This Row],[PLANT_COST]]*Int_breweries[[#This Row],[QUANTITY]]</f>
        <v>63280</v>
      </c>
      <c r="I504" s="1">
        <v>118650</v>
      </c>
      <c r="J504" s="1">
        <v>55370</v>
      </c>
      <c r="K504" s="1" t="s">
        <v>24</v>
      </c>
      <c r="L504" t="s">
        <v>59</v>
      </c>
      <c r="M504" s="1" t="s">
        <v>47</v>
      </c>
      <c r="N504" s="1">
        <v>2019</v>
      </c>
      <c r="O504" t="str" cm="1">
        <f t="array" ref="O504">_xlfn.IFS(OR($K504="Ghana", $K504="Nigeria"), "Anglophone", OR($K504="Togo", $K504="Benin", $K504="Senegal"), "Francophone")</f>
        <v>Francophone</v>
      </c>
      <c r="P504" s="1" t="str">
        <f>LEFT(Int_breweries[[#This Row],[MONTHS]], 3)</f>
        <v>Nov</v>
      </c>
    </row>
    <row r="505" spans="1:16" ht="12.5" x14ac:dyDescent="0.25">
      <c r="A505" s="1">
        <v>10604</v>
      </c>
      <c r="B505" s="1" t="s">
        <v>17</v>
      </c>
      <c r="C505" s="1" t="s">
        <v>18</v>
      </c>
      <c r="D505" t="s">
        <v>69</v>
      </c>
      <c r="E505" s="1">
        <v>90</v>
      </c>
      <c r="F505" s="1">
        <v>150</v>
      </c>
      <c r="G505" s="1">
        <v>702</v>
      </c>
      <c r="H505" s="1">
        <f>Int_breweries[[#This Row],[PLANT_COST]]*Int_breweries[[#This Row],[QUANTITY]]</f>
        <v>63180</v>
      </c>
      <c r="I505" s="1">
        <v>105300</v>
      </c>
      <c r="J505" s="1">
        <v>42120</v>
      </c>
      <c r="K505" s="1" t="s">
        <v>28</v>
      </c>
      <c r="L505" t="s">
        <v>60</v>
      </c>
      <c r="M505" s="1" t="s">
        <v>48</v>
      </c>
      <c r="N505" s="1">
        <v>2018</v>
      </c>
      <c r="O505" t="str" cm="1">
        <f t="array" ref="O505">_xlfn.IFS(OR($K505="Ghana", $K505="Nigeria"), "Anglophone", OR($K505="Togo", $K505="Benin", $K505="Senegal"), "Francophone")</f>
        <v>Francophone</v>
      </c>
      <c r="P505" s="1" t="str">
        <f>LEFT(Int_breweries[[#This Row],[MONTHS]], 3)</f>
        <v>Dec</v>
      </c>
    </row>
    <row r="506" spans="1:16" ht="12.5" x14ac:dyDescent="0.25">
      <c r="A506" s="1">
        <v>10605</v>
      </c>
      <c r="B506" s="1" t="s">
        <v>22</v>
      </c>
      <c r="C506" s="1" t="s">
        <v>23</v>
      </c>
      <c r="D506" t="s">
        <v>63</v>
      </c>
      <c r="E506" s="1">
        <v>150</v>
      </c>
      <c r="F506" s="1">
        <v>200</v>
      </c>
      <c r="G506" s="1">
        <v>922</v>
      </c>
      <c r="H506" s="1">
        <f>Int_breweries[[#This Row],[PLANT_COST]]*Int_breweries[[#This Row],[QUANTITY]]</f>
        <v>138300</v>
      </c>
      <c r="I506" s="1">
        <v>184400</v>
      </c>
      <c r="J506" s="1">
        <v>46100</v>
      </c>
      <c r="K506" s="1" t="s">
        <v>32</v>
      </c>
      <c r="L506" t="s">
        <v>61</v>
      </c>
      <c r="M506" s="1" t="s">
        <v>16</v>
      </c>
      <c r="N506" s="1">
        <v>2017</v>
      </c>
      <c r="O506" t="str" cm="1">
        <f t="array" ref="O506">_xlfn.IFS(OR($K506="Ghana", $K506="Nigeria"), "Anglophone", OR($K506="Togo", $K506="Benin", $K506="Senegal"), "Francophone")</f>
        <v>Francophone</v>
      </c>
      <c r="P506" s="1" t="str">
        <f>LEFT(Int_breweries[[#This Row],[MONTHS]], 3)</f>
        <v>Jan</v>
      </c>
    </row>
    <row r="507" spans="1:16" ht="12.5" x14ac:dyDescent="0.25">
      <c r="A507" s="1">
        <v>10606</v>
      </c>
      <c r="B507" s="1" t="s">
        <v>35</v>
      </c>
      <c r="C507" s="1" t="s">
        <v>36</v>
      </c>
      <c r="D507" t="s">
        <v>64</v>
      </c>
      <c r="E507" s="1">
        <v>250</v>
      </c>
      <c r="F507" s="1">
        <v>500</v>
      </c>
      <c r="G507" s="1">
        <v>957</v>
      </c>
      <c r="H507" s="1">
        <f>Int_breweries[[#This Row],[PLANT_COST]]*Int_breweries[[#This Row],[QUANTITY]]</f>
        <v>239250</v>
      </c>
      <c r="I507" s="1">
        <v>478500</v>
      </c>
      <c r="J507" s="1">
        <v>239250</v>
      </c>
      <c r="K507" s="1" t="s">
        <v>14</v>
      </c>
      <c r="L507" t="s">
        <v>62</v>
      </c>
      <c r="M507" s="1" t="s">
        <v>21</v>
      </c>
      <c r="N507" s="1">
        <v>2019</v>
      </c>
      <c r="O507" t="str" cm="1">
        <f t="array" ref="O507">_xlfn.IFS(OR($K507="Ghana", $K507="Nigeria"), "Anglophone", OR($K507="Togo", $K507="Benin", $K507="Senegal"), "Francophone")</f>
        <v>Anglophone</v>
      </c>
      <c r="P507" s="1" t="str">
        <f>LEFT(Int_breweries[[#This Row],[MONTHS]], 3)</f>
        <v>Feb</v>
      </c>
    </row>
    <row r="508" spans="1:16" ht="12.5" x14ac:dyDescent="0.25">
      <c r="A508" s="1">
        <v>10607</v>
      </c>
      <c r="B508" s="1" t="s">
        <v>30</v>
      </c>
      <c r="C508" s="1" t="s">
        <v>31</v>
      </c>
      <c r="D508" t="s">
        <v>65</v>
      </c>
      <c r="E508" s="1">
        <v>180</v>
      </c>
      <c r="F508" s="1">
        <v>450</v>
      </c>
      <c r="G508" s="1">
        <v>811</v>
      </c>
      <c r="H508" s="1">
        <f>Int_breweries[[#This Row],[PLANT_COST]]*Int_breweries[[#This Row],[QUANTITY]]</f>
        <v>145980</v>
      </c>
      <c r="I508" s="1">
        <v>364950</v>
      </c>
      <c r="J508" s="1">
        <v>218970</v>
      </c>
      <c r="K508" s="1" t="s">
        <v>19</v>
      </c>
      <c r="L508" t="s">
        <v>15</v>
      </c>
      <c r="M508" s="1" t="s">
        <v>25</v>
      </c>
      <c r="N508" s="1">
        <v>2017</v>
      </c>
      <c r="O508" t="str" cm="1">
        <f t="array" ref="O508">_xlfn.IFS(OR($K508="Ghana", $K508="Nigeria"), "Anglophone", OR($K508="Togo", $K508="Benin", $K508="Senegal"), "Francophone")</f>
        <v>Anglophone</v>
      </c>
      <c r="P508" s="1" t="str">
        <f>LEFT(Int_breweries[[#This Row],[MONTHS]], 3)</f>
        <v>Mar</v>
      </c>
    </row>
    <row r="509" spans="1:16" ht="12.5" x14ac:dyDescent="0.25">
      <c r="A509" s="1">
        <v>10608</v>
      </c>
      <c r="B509" s="1" t="s">
        <v>12</v>
      </c>
      <c r="C509" s="1" t="s">
        <v>13</v>
      </c>
      <c r="D509" t="s">
        <v>66</v>
      </c>
      <c r="E509" s="1">
        <v>170</v>
      </c>
      <c r="F509" s="1">
        <v>250</v>
      </c>
      <c r="G509" s="1">
        <v>776</v>
      </c>
      <c r="H509" s="1">
        <f>Int_breweries[[#This Row],[PLANT_COST]]*Int_breweries[[#This Row],[QUANTITY]]</f>
        <v>131920</v>
      </c>
      <c r="I509" s="1">
        <v>194000</v>
      </c>
      <c r="J509" s="1">
        <v>62080</v>
      </c>
      <c r="K509" s="1" t="s">
        <v>24</v>
      </c>
      <c r="L509" t="s">
        <v>58</v>
      </c>
      <c r="M509" s="1" t="s">
        <v>29</v>
      </c>
      <c r="N509" s="1">
        <v>2018</v>
      </c>
      <c r="O509" t="str" cm="1">
        <f t="array" ref="O509">_xlfn.IFS(OR($K509="Ghana", $K509="Nigeria"), "Anglophone", OR($K509="Togo", $K509="Benin", $K509="Senegal"), "Francophone")</f>
        <v>Francophone</v>
      </c>
      <c r="P509" s="1" t="str">
        <f>LEFT(Int_breweries[[#This Row],[MONTHS]], 3)</f>
        <v>Apr</v>
      </c>
    </row>
    <row r="510" spans="1:16" ht="12.5" x14ac:dyDescent="0.25">
      <c r="A510" s="1">
        <v>10609</v>
      </c>
      <c r="B510" s="1" t="s">
        <v>12</v>
      </c>
      <c r="C510" s="1" t="s">
        <v>13</v>
      </c>
      <c r="D510" t="s">
        <v>67</v>
      </c>
      <c r="E510" s="1">
        <v>150</v>
      </c>
      <c r="F510" s="1">
        <v>200</v>
      </c>
      <c r="G510" s="1">
        <v>998</v>
      </c>
      <c r="H510" s="1">
        <f>Int_breweries[[#This Row],[PLANT_COST]]*Int_breweries[[#This Row],[QUANTITY]]</f>
        <v>149700</v>
      </c>
      <c r="I510" s="1">
        <v>199600</v>
      </c>
      <c r="J510" s="1">
        <v>49900</v>
      </c>
      <c r="K510" s="1" t="s">
        <v>28</v>
      </c>
      <c r="L510" t="s">
        <v>59</v>
      </c>
      <c r="M510" s="1" t="s">
        <v>33</v>
      </c>
      <c r="N510" s="1">
        <v>2018</v>
      </c>
      <c r="O510" t="str" cm="1">
        <f t="array" ref="O510">_xlfn.IFS(OR($K510="Ghana", $K510="Nigeria"), "Anglophone", OR($K510="Togo", $K510="Benin", $K510="Senegal"), "Francophone")</f>
        <v>Francophone</v>
      </c>
      <c r="P510" s="1" t="str">
        <f>LEFT(Int_breweries[[#This Row],[MONTHS]], 3)</f>
        <v>May</v>
      </c>
    </row>
    <row r="511" spans="1:16" ht="12.5" x14ac:dyDescent="0.25">
      <c r="A511" s="1">
        <v>10610</v>
      </c>
      <c r="B511" s="1" t="s">
        <v>30</v>
      </c>
      <c r="C511" s="1" t="s">
        <v>31</v>
      </c>
      <c r="D511" t="s">
        <v>68</v>
      </c>
      <c r="E511" s="1">
        <v>80</v>
      </c>
      <c r="F511" s="1">
        <v>150</v>
      </c>
      <c r="G511" s="1">
        <v>872</v>
      </c>
      <c r="H511" s="1">
        <f>Int_breweries[[#This Row],[PLANT_COST]]*Int_breweries[[#This Row],[QUANTITY]]</f>
        <v>69760</v>
      </c>
      <c r="I511" s="1">
        <v>130800</v>
      </c>
      <c r="J511" s="1">
        <v>61040</v>
      </c>
      <c r="K511" s="1" t="s">
        <v>32</v>
      </c>
      <c r="L511" t="s">
        <v>60</v>
      </c>
      <c r="M511" s="1" t="s">
        <v>34</v>
      </c>
      <c r="N511" s="1">
        <v>2017</v>
      </c>
      <c r="O511" t="str" cm="1">
        <f t="array" ref="O511">_xlfn.IFS(OR($K511="Ghana", $K511="Nigeria"), "Anglophone", OR($K511="Togo", $K511="Benin", $K511="Senegal"), "Francophone")</f>
        <v>Francophone</v>
      </c>
      <c r="P511" s="1" t="str">
        <f>LEFT(Int_breweries[[#This Row],[MONTHS]], 3)</f>
        <v>Jun</v>
      </c>
    </row>
    <row r="512" spans="1:16" ht="12.5" x14ac:dyDescent="0.25">
      <c r="A512" s="1">
        <v>10611</v>
      </c>
      <c r="B512" s="1" t="s">
        <v>26</v>
      </c>
      <c r="C512" s="1" t="s">
        <v>27</v>
      </c>
      <c r="D512" t="s">
        <v>69</v>
      </c>
      <c r="E512" s="1">
        <v>90</v>
      </c>
      <c r="F512" s="1">
        <v>150</v>
      </c>
      <c r="G512" s="1">
        <v>763</v>
      </c>
      <c r="H512" s="1">
        <f>Int_breweries[[#This Row],[PLANT_COST]]*Int_breweries[[#This Row],[QUANTITY]]</f>
        <v>68670</v>
      </c>
      <c r="I512" s="1">
        <v>114450</v>
      </c>
      <c r="J512" s="1">
        <v>45780</v>
      </c>
      <c r="K512" s="1" t="s">
        <v>14</v>
      </c>
      <c r="L512" t="s">
        <v>61</v>
      </c>
      <c r="M512" s="1" t="s">
        <v>37</v>
      </c>
      <c r="N512" s="1">
        <v>2019</v>
      </c>
      <c r="O512" t="str" cm="1">
        <f t="array" ref="O512">_xlfn.IFS(OR($K512="Ghana", $K512="Nigeria"), "Anglophone", OR($K512="Togo", $K512="Benin", $K512="Senegal"), "Francophone")</f>
        <v>Anglophone</v>
      </c>
      <c r="P512" s="1" t="str">
        <f>LEFT(Int_breweries[[#This Row],[MONTHS]], 3)</f>
        <v>Jul</v>
      </c>
    </row>
    <row r="513" spans="1:16" ht="12.5" x14ac:dyDescent="0.25">
      <c r="A513" s="1">
        <v>10612</v>
      </c>
      <c r="B513" s="1" t="s">
        <v>39</v>
      </c>
      <c r="C513" s="1" t="s">
        <v>40</v>
      </c>
      <c r="D513" t="s">
        <v>63</v>
      </c>
      <c r="E513" s="1">
        <v>150</v>
      </c>
      <c r="F513" s="1">
        <v>200</v>
      </c>
      <c r="G513" s="1">
        <v>822</v>
      </c>
      <c r="H513" s="1">
        <f>Int_breweries[[#This Row],[PLANT_COST]]*Int_breweries[[#This Row],[QUANTITY]]</f>
        <v>123300</v>
      </c>
      <c r="I513" s="1">
        <v>164400</v>
      </c>
      <c r="J513" s="1">
        <v>41100</v>
      </c>
      <c r="K513" s="1" t="s">
        <v>19</v>
      </c>
      <c r="L513" t="s">
        <v>62</v>
      </c>
      <c r="M513" s="1" t="s">
        <v>38</v>
      </c>
      <c r="N513" s="1">
        <v>2017</v>
      </c>
      <c r="O513" t="str" cm="1">
        <f t="array" ref="O513">_xlfn.IFS(OR($K513="Ghana", $K513="Nigeria"), "Anglophone", OR($K513="Togo", $K513="Benin", $K513="Senegal"), "Francophone")</f>
        <v>Anglophone</v>
      </c>
      <c r="P513" s="1" t="str">
        <f>LEFT(Int_breweries[[#This Row],[MONTHS]], 3)</f>
        <v>Aug</v>
      </c>
    </row>
    <row r="514" spans="1:16" ht="12.5" x14ac:dyDescent="0.25">
      <c r="A514" s="1">
        <v>10613</v>
      </c>
      <c r="B514" s="1" t="s">
        <v>51</v>
      </c>
      <c r="C514" s="1" t="s">
        <v>52</v>
      </c>
      <c r="D514" t="s">
        <v>64</v>
      </c>
      <c r="E514" s="1">
        <v>250</v>
      </c>
      <c r="F514" s="1">
        <v>500</v>
      </c>
      <c r="G514" s="1">
        <v>721</v>
      </c>
      <c r="H514" s="1">
        <f>Int_breweries[[#This Row],[PLANT_COST]]*Int_breweries[[#This Row],[QUANTITY]]</f>
        <v>180250</v>
      </c>
      <c r="I514" s="1">
        <v>360500</v>
      </c>
      <c r="J514" s="1">
        <v>180250</v>
      </c>
      <c r="K514" s="1" t="s">
        <v>24</v>
      </c>
      <c r="L514" t="s">
        <v>15</v>
      </c>
      <c r="M514" s="1" t="s">
        <v>41</v>
      </c>
      <c r="N514" s="1">
        <v>2018</v>
      </c>
      <c r="O514" t="str" cm="1">
        <f t="array" ref="O514">_xlfn.IFS(OR($K514="Ghana", $K514="Nigeria"), "Anglophone", OR($K514="Togo", $K514="Benin", $K514="Senegal"), "Francophone")</f>
        <v>Francophone</v>
      </c>
      <c r="P514" s="1" t="str">
        <f>LEFT(Int_breweries[[#This Row],[MONTHS]], 3)</f>
        <v>Sep</v>
      </c>
    </row>
    <row r="515" spans="1:16" ht="12.5" x14ac:dyDescent="0.25">
      <c r="A515" s="1">
        <v>10614</v>
      </c>
      <c r="B515" s="1" t="s">
        <v>22</v>
      </c>
      <c r="C515" s="1" t="s">
        <v>23</v>
      </c>
      <c r="D515" t="s">
        <v>65</v>
      </c>
      <c r="E515" s="1">
        <v>180</v>
      </c>
      <c r="F515" s="1">
        <v>450</v>
      </c>
      <c r="G515" s="1">
        <v>890</v>
      </c>
      <c r="H515" s="1">
        <f>Int_breweries[[#This Row],[PLANT_COST]]*Int_breweries[[#This Row],[QUANTITY]]</f>
        <v>160200</v>
      </c>
      <c r="I515" s="1">
        <v>400500</v>
      </c>
      <c r="J515" s="1">
        <v>240300</v>
      </c>
      <c r="K515" s="1" t="s">
        <v>28</v>
      </c>
      <c r="L515" t="s">
        <v>58</v>
      </c>
      <c r="M515" s="1" t="s">
        <v>44</v>
      </c>
      <c r="N515" s="1">
        <v>2017</v>
      </c>
      <c r="O515" t="str" cm="1">
        <f t="array" ref="O515">_xlfn.IFS(OR($K515="Ghana", $K515="Nigeria"), "Anglophone", OR($K515="Togo", $K515="Benin", $K515="Senegal"), "Francophone")</f>
        <v>Francophone</v>
      </c>
      <c r="P515" s="1" t="str">
        <f>LEFT(Int_breweries[[#This Row],[MONTHS]], 3)</f>
        <v>Oct</v>
      </c>
    </row>
    <row r="516" spans="1:16" ht="12.5" x14ac:dyDescent="0.25">
      <c r="A516" s="1">
        <v>10615</v>
      </c>
      <c r="B516" s="1" t="s">
        <v>17</v>
      </c>
      <c r="C516" s="1" t="s">
        <v>18</v>
      </c>
      <c r="D516" t="s">
        <v>66</v>
      </c>
      <c r="E516" s="1">
        <v>170</v>
      </c>
      <c r="F516" s="1">
        <v>250</v>
      </c>
      <c r="G516" s="1">
        <v>860</v>
      </c>
      <c r="H516" s="1">
        <f>Int_breweries[[#This Row],[PLANT_COST]]*Int_breweries[[#This Row],[QUANTITY]]</f>
        <v>146200</v>
      </c>
      <c r="I516" s="1">
        <v>215000</v>
      </c>
      <c r="J516" s="1">
        <v>68800</v>
      </c>
      <c r="K516" s="1" t="s">
        <v>32</v>
      </c>
      <c r="L516" t="s">
        <v>59</v>
      </c>
      <c r="M516" s="1" t="s">
        <v>47</v>
      </c>
      <c r="N516" s="1">
        <v>2019</v>
      </c>
      <c r="O516" t="str" cm="1">
        <f t="array" ref="O516">_xlfn.IFS(OR($K516="Ghana", $K516="Nigeria"), "Anglophone", OR($K516="Togo", $K516="Benin", $K516="Senegal"), "Francophone")</f>
        <v>Francophone</v>
      </c>
      <c r="P516" s="1" t="str">
        <f>LEFT(Int_breweries[[#This Row],[MONTHS]], 3)</f>
        <v>Nov</v>
      </c>
    </row>
    <row r="517" spans="1:16" ht="12.5" x14ac:dyDescent="0.25">
      <c r="A517" s="1">
        <v>10616</v>
      </c>
      <c r="B517" s="1" t="s">
        <v>22</v>
      </c>
      <c r="C517" s="1" t="s">
        <v>23</v>
      </c>
      <c r="D517" t="s">
        <v>67</v>
      </c>
      <c r="E517" s="1">
        <v>150</v>
      </c>
      <c r="F517" s="1">
        <v>200</v>
      </c>
      <c r="G517" s="1">
        <v>824</v>
      </c>
      <c r="H517" s="1">
        <f>Int_breweries[[#This Row],[PLANT_COST]]*Int_breweries[[#This Row],[QUANTITY]]</f>
        <v>123600</v>
      </c>
      <c r="I517" s="1">
        <v>164800</v>
      </c>
      <c r="J517" s="1">
        <v>41200</v>
      </c>
      <c r="K517" s="1" t="s">
        <v>14</v>
      </c>
      <c r="L517" t="s">
        <v>60</v>
      </c>
      <c r="M517" s="1" t="s">
        <v>48</v>
      </c>
      <c r="N517" s="1">
        <v>2017</v>
      </c>
      <c r="O517" t="str" cm="1">
        <f t="array" ref="O517">_xlfn.IFS(OR($K517="Ghana", $K517="Nigeria"), "Anglophone", OR($K517="Togo", $K517="Benin", $K517="Senegal"), "Francophone")</f>
        <v>Anglophone</v>
      </c>
      <c r="P517" s="1" t="str">
        <f>LEFT(Int_breweries[[#This Row],[MONTHS]], 3)</f>
        <v>Dec</v>
      </c>
    </row>
    <row r="518" spans="1:16" ht="12.5" x14ac:dyDescent="0.25">
      <c r="A518" s="1">
        <v>10617</v>
      </c>
      <c r="B518" s="1" t="s">
        <v>35</v>
      </c>
      <c r="C518" s="1" t="s">
        <v>36</v>
      </c>
      <c r="D518" t="s">
        <v>68</v>
      </c>
      <c r="E518" s="1">
        <v>80</v>
      </c>
      <c r="F518" s="1">
        <v>150</v>
      </c>
      <c r="G518" s="1">
        <v>916</v>
      </c>
      <c r="H518" s="1">
        <f>Int_breweries[[#This Row],[PLANT_COST]]*Int_breweries[[#This Row],[QUANTITY]]</f>
        <v>73280</v>
      </c>
      <c r="I518" s="1">
        <v>137400</v>
      </c>
      <c r="J518" s="1">
        <v>64120</v>
      </c>
      <c r="K518" s="1" t="s">
        <v>19</v>
      </c>
      <c r="L518" t="s">
        <v>61</v>
      </c>
      <c r="M518" s="1" t="s">
        <v>16</v>
      </c>
      <c r="N518" s="1">
        <v>2017</v>
      </c>
      <c r="O518" t="str" cm="1">
        <f t="array" ref="O518">_xlfn.IFS(OR($K518="Ghana", $K518="Nigeria"), "Anglophone", OR($K518="Togo", $K518="Benin", $K518="Senegal"), "Francophone")</f>
        <v>Anglophone</v>
      </c>
      <c r="P518" s="1" t="str">
        <f>LEFT(Int_breweries[[#This Row],[MONTHS]], 3)</f>
        <v>Jan</v>
      </c>
    </row>
    <row r="519" spans="1:16" ht="12.5" x14ac:dyDescent="0.25">
      <c r="A519" s="1">
        <v>10618</v>
      </c>
      <c r="B519" s="1" t="s">
        <v>30</v>
      </c>
      <c r="C519" s="1" t="s">
        <v>31</v>
      </c>
      <c r="D519" t="s">
        <v>69</v>
      </c>
      <c r="E519" s="1">
        <v>90</v>
      </c>
      <c r="F519" s="1">
        <v>150</v>
      </c>
      <c r="G519" s="1">
        <v>855</v>
      </c>
      <c r="H519" s="1">
        <f>Int_breweries[[#This Row],[PLANT_COST]]*Int_breweries[[#This Row],[QUANTITY]]</f>
        <v>76950</v>
      </c>
      <c r="I519" s="1">
        <v>128250</v>
      </c>
      <c r="J519" s="1">
        <v>51300</v>
      </c>
      <c r="K519" s="1" t="s">
        <v>24</v>
      </c>
      <c r="L519" t="s">
        <v>62</v>
      </c>
      <c r="M519" s="1" t="s">
        <v>21</v>
      </c>
      <c r="N519" s="1">
        <v>2019</v>
      </c>
      <c r="O519" t="str" cm="1">
        <f t="array" ref="O519">_xlfn.IFS(OR($K519="Ghana", $K519="Nigeria"), "Anglophone", OR($K519="Togo", $K519="Benin", $K519="Senegal"), "Francophone")</f>
        <v>Francophone</v>
      </c>
      <c r="P519" s="1" t="str">
        <f>LEFT(Int_breweries[[#This Row],[MONTHS]], 3)</f>
        <v>Feb</v>
      </c>
    </row>
    <row r="520" spans="1:16" ht="12.5" x14ac:dyDescent="0.25">
      <c r="A520" s="1">
        <v>10619</v>
      </c>
      <c r="B520" s="1" t="s">
        <v>12</v>
      </c>
      <c r="C520" s="1" t="s">
        <v>13</v>
      </c>
      <c r="D520" t="s">
        <v>63</v>
      </c>
      <c r="E520" s="1">
        <v>150</v>
      </c>
      <c r="F520" s="1">
        <v>200</v>
      </c>
      <c r="G520" s="1">
        <v>715</v>
      </c>
      <c r="H520" s="1">
        <f>Int_breweries[[#This Row],[PLANT_COST]]*Int_breweries[[#This Row],[QUANTITY]]</f>
        <v>107250</v>
      </c>
      <c r="I520" s="1">
        <v>143000</v>
      </c>
      <c r="J520" s="1">
        <v>35750</v>
      </c>
      <c r="K520" s="1" t="s">
        <v>28</v>
      </c>
      <c r="L520" t="s">
        <v>15</v>
      </c>
      <c r="M520" s="1" t="s">
        <v>25</v>
      </c>
      <c r="N520" s="1">
        <v>2018</v>
      </c>
      <c r="O520" t="str" cm="1">
        <f t="array" ref="O520">_xlfn.IFS(OR($K520="Ghana", $K520="Nigeria"), "Anglophone", OR($K520="Togo", $K520="Benin", $K520="Senegal"), "Francophone")</f>
        <v>Francophone</v>
      </c>
      <c r="P520" s="1" t="str">
        <f>LEFT(Int_breweries[[#This Row],[MONTHS]], 3)</f>
        <v>Mar</v>
      </c>
    </row>
    <row r="521" spans="1:16" ht="12.5" x14ac:dyDescent="0.25">
      <c r="A521" s="1">
        <v>10620</v>
      </c>
      <c r="B521" s="1" t="s">
        <v>12</v>
      </c>
      <c r="C521" s="1" t="s">
        <v>13</v>
      </c>
      <c r="D521" t="s">
        <v>64</v>
      </c>
      <c r="E521" s="1">
        <v>250</v>
      </c>
      <c r="F521" s="1">
        <v>500</v>
      </c>
      <c r="G521" s="1">
        <v>940</v>
      </c>
      <c r="H521" s="1">
        <f>Int_breweries[[#This Row],[PLANT_COST]]*Int_breweries[[#This Row],[QUANTITY]]</f>
        <v>235000</v>
      </c>
      <c r="I521" s="1">
        <v>470000</v>
      </c>
      <c r="J521" s="1">
        <v>235000</v>
      </c>
      <c r="K521" s="1" t="s">
        <v>32</v>
      </c>
      <c r="L521" t="s">
        <v>58</v>
      </c>
      <c r="M521" s="1" t="s">
        <v>29</v>
      </c>
      <c r="N521" s="1">
        <v>2019</v>
      </c>
      <c r="O521" t="str" cm="1">
        <f t="array" ref="O521">_xlfn.IFS(OR($K521="Ghana", $K521="Nigeria"), "Anglophone", OR($K521="Togo", $K521="Benin", $K521="Senegal"), "Francophone")</f>
        <v>Francophone</v>
      </c>
      <c r="P521" s="1" t="str">
        <f>LEFT(Int_breweries[[#This Row],[MONTHS]], 3)</f>
        <v>Apr</v>
      </c>
    </row>
    <row r="522" spans="1:16" ht="12.5" x14ac:dyDescent="0.25">
      <c r="A522" s="1">
        <v>10621</v>
      </c>
      <c r="B522" s="1" t="s">
        <v>30</v>
      </c>
      <c r="C522" s="1" t="s">
        <v>31</v>
      </c>
      <c r="D522" t="s">
        <v>65</v>
      </c>
      <c r="E522" s="1">
        <v>180</v>
      </c>
      <c r="F522" s="1">
        <v>450</v>
      </c>
      <c r="G522" s="1">
        <v>847</v>
      </c>
      <c r="H522" s="1">
        <f>Int_breweries[[#This Row],[PLANT_COST]]*Int_breweries[[#This Row],[QUANTITY]]</f>
        <v>152460</v>
      </c>
      <c r="I522" s="1">
        <v>381150</v>
      </c>
      <c r="J522" s="1">
        <v>228690</v>
      </c>
      <c r="K522" s="1" t="s">
        <v>14</v>
      </c>
      <c r="L522" t="s">
        <v>59</v>
      </c>
      <c r="M522" s="1" t="s">
        <v>33</v>
      </c>
      <c r="N522" s="1">
        <v>2019</v>
      </c>
      <c r="O522" t="str" cm="1">
        <f t="array" ref="O522">_xlfn.IFS(OR($K522="Ghana", $K522="Nigeria"), "Anglophone", OR($K522="Togo", $K522="Benin", $K522="Senegal"), "Francophone")</f>
        <v>Anglophone</v>
      </c>
      <c r="P522" s="1" t="str">
        <f>LEFT(Int_breweries[[#This Row],[MONTHS]], 3)</f>
        <v>May</v>
      </c>
    </row>
    <row r="523" spans="1:16" ht="12.5" x14ac:dyDescent="0.25">
      <c r="A523" s="1">
        <v>10622</v>
      </c>
      <c r="B523" s="1" t="s">
        <v>12</v>
      </c>
      <c r="C523" s="1" t="s">
        <v>13</v>
      </c>
      <c r="D523" t="s">
        <v>66</v>
      </c>
      <c r="E523" s="1">
        <v>170</v>
      </c>
      <c r="F523" s="1">
        <v>250</v>
      </c>
      <c r="G523" s="1">
        <v>889</v>
      </c>
      <c r="H523" s="1">
        <f>Int_breweries[[#This Row],[PLANT_COST]]*Int_breweries[[#This Row],[QUANTITY]]</f>
        <v>151130</v>
      </c>
      <c r="I523" s="1">
        <v>222250</v>
      </c>
      <c r="J523" s="1">
        <v>71120</v>
      </c>
      <c r="K523" s="1" t="s">
        <v>19</v>
      </c>
      <c r="L523" t="s">
        <v>60</v>
      </c>
      <c r="M523" s="1" t="s">
        <v>34</v>
      </c>
      <c r="N523" s="1">
        <v>2017</v>
      </c>
      <c r="O523" t="str" cm="1">
        <f t="array" ref="O523">_xlfn.IFS(OR($K523="Ghana", $K523="Nigeria"), "Anglophone", OR($K523="Togo", $K523="Benin", $K523="Senegal"), "Francophone")</f>
        <v>Anglophone</v>
      </c>
      <c r="P523" s="1" t="str">
        <f>LEFT(Int_breweries[[#This Row],[MONTHS]], 3)</f>
        <v>Jun</v>
      </c>
    </row>
    <row r="524" spans="1:16" ht="12.5" x14ac:dyDescent="0.25">
      <c r="A524" s="1">
        <v>10623</v>
      </c>
      <c r="B524" s="1" t="s">
        <v>17</v>
      </c>
      <c r="C524" s="1" t="s">
        <v>18</v>
      </c>
      <c r="D524" t="s">
        <v>67</v>
      </c>
      <c r="E524" s="1">
        <v>150</v>
      </c>
      <c r="F524" s="1">
        <v>200</v>
      </c>
      <c r="G524" s="1">
        <v>928</v>
      </c>
      <c r="H524" s="1">
        <f>Int_breweries[[#This Row],[PLANT_COST]]*Int_breweries[[#This Row],[QUANTITY]]</f>
        <v>139200</v>
      </c>
      <c r="I524" s="1">
        <v>185600</v>
      </c>
      <c r="J524" s="1">
        <v>46400</v>
      </c>
      <c r="K524" s="1" t="s">
        <v>24</v>
      </c>
      <c r="L524" t="s">
        <v>61</v>
      </c>
      <c r="M524" s="1" t="s">
        <v>37</v>
      </c>
      <c r="N524" s="1">
        <v>2019</v>
      </c>
      <c r="O524" t="str" cm="1">
        <f t="array" ref="O524">_xlfn.IFS(OR($K524="Ghana", $K524="Nigeria"), "Anglophone", OR($K524="Togo", $K524="Benin", $K524="Senegal"), "Francophone")</f>
        <v>Francophone</v>
      </c>
      <c r="P524" s="1" t="str">
        <f>LEFT(Int_breweries[[#This Row],[MONTHS]], 3)</f>
        <v>Jul</v>
      </c>
    </row>
    <row r="525" spans="1:16" ht="12.5" x14ac:dyDescent="0.25">
      <c r="A525" s="1">
        <v>10624</v>
      </c>
      <c r="B525" s="1" t="s">
        <v>22</v>
      </c>
      <c r="C525" s="1" t="s">
        <v>23</v>
      </c>
      <c r="D525" t="s">
        <v>68</v>
      </c>
      <c r="E525" s="1">
        <v>80</v>
      </c>
      <c r="F525" s="1">
        <v>150</v>
      </c>
      <c r="G525" s="1">
        <v>943</v>
      </c>
      <c r="H525" s="1">
        <f>Int_breweries[[#This Row],[PLANT_COST]]*Int_breweries[[#This Row],[QUANTITY]]</f>
        <v>75440</v>
      </c>
      <c r="I525" s="1">
        <v>141450</v>
      </c>
      <c r="J525" s="1">
        <v>66010</v>
      </c>
      <c r="K525" s="1" t="s">
        <v>28</v>
      </c>
      <c r="L525" t="s">
        <v>62</v>
      </c>
      <c r="M525" s="1" t="s">
        <v>38</v>
      </c>
      <c r="N525" s="1">
        <v>2019</v>
      </c>
      <c r="O525" t="str" cm="1">
        <f t="array" ref="O525">_xlfn.IFS(OR($K525="Ghana", $K525="Nigeria"), "Anglophone", OR($K525="Togo", $K525="Benin", $K525="Senegal"), "Francophone")</f>
        <v>Francophone</v>
      </c>
      <c r="P525" s="1" t="str">
        <f>LEFT(Int_breweries[[#This Row],[MONTHS]], 3)</f>
        <v>Aug</v>
      </c>
    </row>
    <row r="526" spans="1:16" ht="12.5" x14ac:dyDescent="0.25">
      <c r="A526" s="1">
        <v>10625</v>
      </c>
      <c r="B526" s="1" t="s">
        <v>26</v>
      </c>
      <c r="C526" s="1" t="s">
        <v>27</v>
      </c>
      <c r="D526" t="s">
        <v>69</v>
      </c>
      <c r="E526" s="1">
        <v>90</v>
      </c>
      <c r="F526" s="1">
        <v>150</v>
      </c>
      <c r="G526" s="1">
        <v>716</v>
      </c>
      <c r="H526" s="1">
        <f>Int_breweries[[#This Row],[PLANT_COST]]*Int_breweries[[#This Row],[QUANTITY]]</f>
        <v>64440</v>
      </c>
      <c r="I526" s="1">
        <v>107400</v>
      </c>
      <c r="J526" s="1">
        <v>42960</v>
      </c>
      <c r="K526" s="1" t="s">
        <v>32</v>
      </c>
      <c r="L526" t="s">
        <v>15</v>
      </c>
      <c r="M526" s="1" t="s">
        <v>41</v>
      </c>
      <c r="N526" s="1">
        <v>2018</v>
      </c>
      <c r="O526" t="str" cm="1">
        <f t="array" ref="O526">_xlfn.IFS(OR($K526="Ghana", $K526="Nigeria"), "Anglophone", OR($K526="Togo", $K526="Benin", $K526="Senegal"), "Francophone")</f>
        <v>Francophone</v>
      </c>
      <c r="P526" s="1" t="str">
        <f>LEFT(Int_breweries[[#This Row],[MONTHS]], 3)</f>
        <v>Sep</v>
      </c>
    </row>
    <row r="527" spans="1:16" ht="12.5" x14ac:dyDescent="0.25">
      <c r="A527" s="1">
        <v>10626</v>
      </c>
      <c r="B527" s="1" t="s">
        <v>30</v>
      </c>
      <c r="C527" s="1" t="s">
        <v>31</v>
      </c>
      <c r="D527" t="s">
        <v>63</v>
      </c>
      <c r="E527" s="1">
        <v>150</v>
      </c>
      <c r="F527" s="1">
        <v>200</v>
      </c>
      <c r="G527" s="1">
        <v>757</v>
      </c>
      <c r="H527" s="1">
        <f>Int_breweries[[#This Row],[PLANT_COST]]*Int_breweries[[#This Row],[QUANTITY]]</f>
        <v>113550</v>
      </c>
      <c r="I527" s="1">
        <v>151400</v>
      </c>
      <c r="J527" s="1">
        <v>37850</v>
      </c>
      <c r="K527" s="1" t="s">
        <v>14</v>
      </c>
      <c r="L527" t="s">
        <v>58</v>
      </c>
      <c r="M527" s="1" t="s">
        <v>44</v>
      </c>
      <c r="N527" s="1">
        <v>2018</v>
      </c>
      <c r="O527" t="str" cm="1">
        <f t="array" ref="O527">_xlfn.IFS(OR($K527="Ghana", $K527="Nigeria"), "Anglophone", OR($K527="Togo", $K527="Benin", $K527="Senegal"), "Francophone")</f>
        <v>Anglophone</v>
      </c>
      <c r="P527" s="1" t="str">
        <f>LEFT(Int_breweries[[#This Row],[MONTHS]], 3)</f>
        <v>Oct</v>
      </c>
    </row>
    <row r="528" spans="1:16" ht="12.5" x14ac:dyDescent="0.25">
      <c r="A528" s="1">
        <v>10627</v>
      </c>
      <c r="B528" s="1" t="s">
        <v>12</v>
      </c>
      <c r="C528" s="1" t="s">
        <v>13</v>
      </c>
      <c r="D528" t="s">
        <v>64</v>
      </c>
      <c r="E528" s="1">
        <v>250</v>
      </c>
      <c r="F528" s="1">
        <v>500</v>
      </c>
      <c r="G528" s="1">
        <v>795</v>
      </c>
      <c r="H528" s="1">
        <f>Int_breweries[[#This Row],[PLANT_COST]]*Int_breweries[[#This Row],[QUANTITY]]</f>
        <v>198750</v>
      </c>
      <c r="I528" s="1">
        <v>397500</v>
      </c>
      <c r="J528" s="1">
        <v>198750</v>
      </c>
      <c r="K528" s="1" t="s">
        <v>19</v>
      </c>
      <c r="L528" t="s">
        <v>59</v>
      </c>
      <c r="M528" s="1" t="s">
        <v>47</v>
      </c>
      <c r="N528" s="1">
        <v>2017</v>
      </c>
      <c r="O528" t="str" cm="1">
        <f t="array" ref="O528">_xlfn.IFS(OR($K528="Ghana", $K528="Nigeria"), "Anglophone", OR($K528="Togo", $K528="Benin", $K528="Senegal"), "Francophone")</f>
        <v>Anglophone</v>
      </c>
      <c r="P528" s="1" t="str">
        <f>LEFT(Int_breweries[[#This Row],[MONTHS]], 3)</f>
        <v>Nov</v>
      </c>
    </row>
    <row r="529" spans="1:16" ht="12.5" x14ac:dyDescent="0.25">
      <c r="A529" s="1">
        <v>10628</v>
      </c>
      <c r="B529" s="1" t="s">
        <v>35</v>
      </c>
      <c r="C529" s="1" t="s">
        <v>36</v>
      </c>
      <c r="D529" t="s">
        <v>65</v>
      </c>
      <c r="E529" s="1">
        <v>180</v>
      </c>
      <c r="F529" s="1">
        <v>450</v>
      </c>
      <c r="G529" s="1">
        <v>940</v>
      </c>
      <c r="H529" s="1">
        <f>Int_breweries[[#This Row],[PLANT_COST]]*Int_breweries[[#This Row],[QUANTITY]]</f>
        <v>169200</v>
      </c>
      <c r="I529" s="1">
        <v>423000</v>
      </c>
      <c r="J529" s="1">
        <v>253800</v>
      </c>
      <c r="K529" s="1" t="s">
        <v>24</v>
      </c>
      <c r="L529" t="s">
        <v>60</v>
      </c>
      <c r="M529" s="1" t="s">
        <v>48</v>
      </c>
      <c r="N529" s="1">
        <v>2019</v>
      </c>
      <c r="O529" t="str" cm="1">
        <f t="array" ref="O529">_xlfn.IFS(OR($K529="Ghana", $K529="Nigeria"), "Anglophone", OR($K529="Togo", $K529="Benin", $K529="Senegal"), "Francophone")</f>
        <v>Francophone</v>
      </c>
      <c r="P529" s="1" t="str">
        <f>LEFT(Int_breweries[[#This Row],[MONTHS]], 3)</f>
        <v>Dec</v>
      </c>
    </row>
    <row r="530" spans="1:16" ht="12.5" x14ac:dyDescent="0.25">
      <c r="A530" s="1">
        <v>10629</v>
      </c>
      <c r="B530" s="1" t="s">
        <v>26</v>
      </c>
      <c r="C530" s="1" t="s">
        <v>27</v>
      </c>
      <c r="D530" t="s">
        <v>66</v>
      </c>
      <c r="E530" s="1">
        <v>170</v>
      </c>
      <c r="F530" s="1">
        <v>250</v>
      </c>
      <c r="G530" s="1">
        <v>899</v>
      </c>
      <c r="H530" s="1">
        <f>Int_breweries[[#This Row],[PLANT_COST]]*Int_breweries[[#This Row],[QUANTITY]]</f>
        <v>152830</v>
      </c>
      <c r="I530" s="1">
        <v>224750</v>
      </c>
      <c r="J530" s="1">
        <v>71920</v>
      </c>
      <c r="K530" s="1" t="s">
        <v>28</v>
      </c>
      <c r="L530" t="s">
        <v>61</v>
      </c>
      <c r="M530" s="1" t="s">
        <v>16</v>
      </c>
      <c r="N530" s="1">
        <v>2019</v>
      </c>
      <c r="O530" t="str" cm="1">
        <f t="array" ref="O530">_xlfn.IFS(OR($K530="Ghana", $K530="Nigeria"), "Anglophone", OR($K530="Togo", $K530="Benin", $K530="Senegal"), "Francophone")</f>
        <v>Francophone</v>
      </c>
      <c r="P530" s="1" t="str">
        <f>LEFT(Int_breweries[[#This Row],[MONTHS]], 3)</f>
        <v>Jan</v>
      </c>
    </row>
    <row r="531" spans="1:16" ht="12.5" x14ac:dyDescent="0.25">
      <c r="A531" s="1">
        <v>10630</v>
      </c>
      <c r="B531" s="1" t="s">
        <v>39</v>
      </c>
      <c r="C531" s="1" t="s">
        <v>40</v>
      </c>
      <c r="D531" t="s">
        <v>67</v>
      </c>
      <c r="E531" s="1">
        <v>150</v>
      </c>
      <c r="F531" s="1">
        <v>200</v>
      </c>
      <c r="G531" s="1">
        <v>907</v>
      </c>
      <c r="H531" s="1">
        <f>Int_breweries[[#This Row],[PLANT_COST]]*Int_breweries[[#This Row],[QUANTITY]]</f>
        <v>136050</v>
      </c>
      <c r="I531" s="1">
        <v>181400</v>
      </c>
      <c r="J531" s="1">
        <v>45350</v>
      </c>
      <c r="K531" s="1" t="s">
        <v>32</v>
      </c>
      <c r="L531" t="s">
        <v>62</v>
      </c>
      <c r="M531" s="1" t="s">
        <v>21</v>
      </c>
      <c r="N531" s="1">
        <v>2018</v>
      </c>
      <c r="O531" t="str" cm="1">
        <f t="array" ref="O531">_xlfn.IFS(OR($K531="Ghana", $K531="Nigeria"), "Anglophone", OR($K531="Togo", $K531="Benin", $K531="Senegal"), "Francophone")</f>
        <v>Francophone</v>
      </c>
      <c r="P531" s="1" t="str">
        <f>LEFT(Int_breweries[[#This Row],[MONTHS]], 3)</f>
        <v>Feb</v>
      </c>
    </row>
    <row r="532" spans="1:16" ht="12.5" x14ac:dyDescent="0.25">
      <c r="A532" s="1">
        <v>10631</v>
      </c>
      <c r="B532" s="1" t="s">
        <v>42</v>
      </c>
      <c r="C532" s="1" t="s">
        <v>43</v>
      </c>
      <c r="D532" t="s">
        <v>68</v>
      </c>
      <c r="E532" s="1">
        <v>80</v>
      </c>
      <c r="F532" s="1">
        <v>150</v>
      </c>
      <c r="G532" s="1">
        <v>929</v>
      </c>
      <c r="H532" s="1">
        <f>Int_breweries[[#This Row],[PLANT_COST]]*Int_breweries[[#This Row],[QUANTITY]]</f>
        <v>74320</v>
      </c>
      <c r="I532" s="1">
        <v>139350</v>
      </c>
      <c r="J532" s="1">
        <v>65030</v>
      </c>
      <c r="K532" s="1" t="s">
        <v>14</v>
      </c>
      <c r="L532" t="s">
        <v>15</v>
      </c>
      <c r="M532" s="1" t="s">
        <v>25</v>
      </c>
      <c r="N532" s="1">
        <v>2019</v>
      </c>
      <c r="O532" t="str" cm="1">
        <f t="array" ref="O532">_xlfn.IFS(OR($K532="Ghana", $K532="Nigeria"), "Anglophone", OR($K532="Togo", $K532="Benin", $K532="Senegal"), "Francophone")</f>
        <v>Anglophone</v>
      </c>
      <c r="P532" s="1" t="str">
        <f>LEFT(Int_breweries[[#This Row],[MONTHS]], 3)</f>
        <v>Mar</v>
      </c>
    </row>
    <row r="533" spans="1:16" ht="12.5" x14ac:dyDescent="0.25">
      <c r="A533" s="1">
        <v>10632</v>
      </c>
      <c r="B533" s="1" t="s">
        <v>45</v>
      </c>
      <c r="C533" s="1" t="s">
        <v>46</v>
      </c>
      <c r="D533" t="s">
        <v>69</v>
      </c>
      <c r="E533" s="1">
        <v>90</v>
      </c>
      <c r="F533" s="1">
        <v>150</v>
      </c>
      <c r="G533" s="1">
        <v>790</v>
      </c>
      <c r="H533" s="1">
        <f>Int_breweries[[#This Row],[PLANT_COST]]*Int_breweries[[#This Row],[QUANTITY]]</f>
        <v>71100</v>
      </c>
      <c r="I533" s="1">
        <v>118500</v>
      </c>
      <c r="J533" s="1">
        <v>47400</v>
      </c>
      <c r="K533" s="1" t="s">
        <v>19</v>
      </c>
      <c r="L533" t="s">
        <v>58</v>
      </c>
      <c r="M533" s="1" t="s">
        <v>29</v>
      </c>
      <c r="N533" s="1">
        <v>2018</v>
      </c>
      <c r="O533" t="str" cm="1">
        <f t="array" ref="O533">_xlfn.IFS(OR($K533="Ghana", $K533="Nigeria"), "Anglophone", OR($K533="Togo", $K533="Benin", $K533="Senegal"), "Francophone")</f>
        <v>Anglophone</v>
      </c>
      <c r="P533" s="1" t="str">
        <f>LEFT(Int_breweries[[#This Row],[MONTHS]], 3)</f>
        <v>Apr</v>
      </c>
    </row>
    <row r="534" spans="1:16" ht="12.5" x14ac:dyDescent="0.25">
      <c r="A534" s="1">
        <v>10633</v>
      </c>
      <c r="B534" s="1" t="s">
        <v>26</v>
      </c>
      <c r="C534" s="1" t="s">
        <v>27</v>
      </c>
      <c r="D534" t="s">
        <v>63</v>
      </c>
      <c r="E534" s="1">
        <v>150</v>
      </c>
      <c r="F534" s="1">
        <v>200</v>
      </c>
      <c r="G534" s="1">
        <v>939</v>
      </c>
      <c r="H534" s="1">
        <f>Int_breweries[[#This Row],[PLANT_COST]]*Int_breweries[[#This Row],[QUANTITY]]</f>
        <v>140850</v>
      </c>
      <c r="I534" s="1">
        <v>187800</v>
      </c>
      <c r="J534" s="1">
        <v>46950</v>
      </c>
      <c r="K534" s="1" t="s">
        <v>24</v>
      </c>
      <c r="L534" t="s">
        <v>59</v>
      </c>
      <c r="M534" s="1" t="s">
        <v>33</v>
      </c>
      <c r="N534" s="1">
        <v>2018</v>
      </c>
      <c r="O534" t="str" cm="1">
        <f t="array" ref="O534">_xlfn.IFS(OR($K534="Ghana", $K534="Nigeria"), "Anglophone", OR($K534="Togo", $K534="Benin", $K534="Senegal"), "Francophone")</f>
        <v>Francophone</v>
      </c>
      <c r="P534" s="1" t="str">
        <f>LEFT(Int_breweries[[#This Row],[MONTHS]], 3)</f>
        <v>May</v>
      </c>
    </row>
    <row r="535" spans="1:16" ht="12.5" x14ac:dyDescent="0.25">
      <c r="A535" s="1">
        <v>10634</v>
      </c>
      <c r="B535" s="1" t="s">
        <v>49</v>
      </c>
      <c r="C535" s="1" t="s">
        <v>50</v>
      </c>
      <c r="D535" t="s">
        <v>64</v>
      </c>
      <c r="E535" s="1">
        <v>250</v>
      </c>
      <c r="F535" s="1">
        <v>500</v>
      </c>
      <c r="G535" s="1">
        <v>720</v>
      </c>
      <c r="H535" s="1">
        <f>Int_breweries[[#This Row],[PLANT_COST]]*Int_breweries[[#This Row],[QUANTITY]]</f>
        <v>180000</v>
      </c>
      <c r="I535" s="1">
        <v>360000</v>
      </c>
      <c r="J535" s="1">
        <v>180000</v>
      </c>
      <c r="K535" s="1" t="s">
        <v>28</v>
      </c>
      <c r="L535" t="s">
        <v>60</v>
      </c>
      <c r="M535" s="1" t="s">
        <v>34</v>
      </c>
      <c r="N535" s="1">
        <v>2019</v>
      </c>
      <c r="O535" t="str" cm="1">
        <f t="array" ref="O535">_xlfn.IFS(OR($K535="Ghana", $K535="Nigeria"), "Anglophone", OR($K535="Togo", $K535="Benin", $K535="Senegal"), "Francophone")</f>
        <v>Francophone</v>
      </c>
      <c r="P535" s="1" t="str">
        <f>LEFT(Int_breweries[[#This Row],[MONTHS]], 3)</f>
        <v>Jun</v>
      </c>
    </row>
    <row r="536" spans="1:16" ht="12.5" x14ac:dyDescent="0.25">
      <c r="A536" s="1">
        <v>10635</v>
      </c>
      <c r="B536" s="1" t="s">
        <v>26</v>
      </c>
      <c r="C536" s="1" t="s">
        <v>27</v>
      </c>
      <c r="D536" t="s">
        <v>65</v>
      </c>
      <c r="E536" s="1">
        <v>180</v>
      </c>
      <c r="F536" s="1">
        <v>450</v>
      </c>
      <c r="G536" s="1">
        <v>745</v>
      </c>
      <c r="H536" s="1">
        <f>Int_breweries[[#This Row],[PLANT_COST]]*Int_breweries[[#This Row],[QUANTITY]]</f>
        <v>134100</v>
      </c>
      <c r="I536" s="1">
        <v>335250</v>
      </c>
      <c r="J536" s="1">
        <v>201150</v>
      </c>
      <c r="K536" s="1" t="s">
        <v>32</v>
      </c>
      <c r="L536" t="s">
        <v>61</v>
      </c>
      <c r="M536" s="1" t="s">
        <v>37</v>
      </c>
      <c r="N536" s="1">
        <v>2018</v>
      </c>
      <c r="O536" t="str" cm="1">
        <f t="array" ref="O536">_xlfn.IFS(OR($K536="Ghana", $K536="Nigeria"), "Anglophone", OR($K536="Togo", $K536="Benin", $K536="Senegal"), "Francophone")</f>
        <v>Francophone</v>
      </c>
      <c r="P536" s="1" t="str">
        <f>LEFT(Int_breweries[[#This Row],[MONTHS]], 3)</f>
        <v>Jul</v>
      </c>
    </row>
    <row r="537" spans="1:16" ht="12.5" x14ac:dyDescent="0.25">
      <c r="A537" s="1">
        <v>10636</v>
      </c>
      <c r="B537" s="1" t="s">
        <v>12</v>
      </c>
      <c r="C537" s="1" t="s">
        <v>13</v>
      </c>
      <c r="D537" t="s">
        <v>66</v>
      </c>
      <c r="E537" s="1">
        <v>170</v>
      </c>
      <c r="F537" s="1">
        <v>250</v>
      </c>
      <c r="G537" s="1">
        <v>846</v>
      </c>
      <c r="H537" s="1">
        <f>Int_breweries[[#This Row],[PLANT_COST]]*Int_breweries[[#This Row],[QUANTITY]]</f>
        <v>143820</v>
      </c>
      <c r="I537" s="1">
        <v>211500</v>
      </c>
      <c r="J537" s="1">
        <v>67680</v>
      </c>
      <c r="K537" s="1" t="s">
        <v>14</v>
      </c>
      <c r="L537" t="s">
        <v>62</v>
      </c>
      <c r="M537" s="1" t="s">
        <v>38</v>
      </c>
      <c r="N537" s="1">
        <v>2017</v>
      </c>
      <c r="O537" t="str" cm="1">
        <f t="array" ref="O537">_xlfn.IFS(OR($K537="Ghana", $K537="Nigeria"), "Anglophone", OR($K537="Togo", $K537="Benin", $K537="Senegal"), "Francophone")</f>
        <v>Anglophone</v>
      </c>
      <c r="P537" s="1" t="str">
        <f>LEFT(Int_breweries[[#This Row],[MONTHS]], 3)</f>
        <v>Aug</v>
      </c>
    </row>
    <row r="538" spans="1:16" ht="12.5" x14ac:dyDescent="0.25">
      <c r="A538" s="1">
        <v>10637</v>
      </c>
      <c r="B538" s="1" t="s">
        <v>17</v>
      </c>
      <c r="C538" s="1" t="s">
        <v>18</v>
      </c>
      <c r="D538" t="s">
        <v>67</v>
      </c>
      <c r="E538" s="1">
        <v>150</v>
      </c>
      <c r="F538" s="1">
        <v>200</v>
      </c>
      <c r="G538" s="1">
        <v>937</v>
      </c>
      <c r="H538" s="1">
        <f>Int_breweries[[#This Row],[PLANT_COST]]*Int_breweries[[#This Row],[QUANTITY]]</f>
        <v>140550</v>
      </c>
      <c r="I538" s="1">
        <v>187400</v>
      </c>
      <c r="J538" s="1">
        <v>46850</v>
      </c>
      <c r="K538" s="1" t="s">
        <v>19</v>
      </c>
      <c r="L538" t="s">
        <v>15</v>
      </c>
      <c r="M538" s="1" t="s">
        <v>41</v>
      </c>
      <c r="N538" s="1">
        <v>2018</v>
      </c>
      <c r="O538" t="str" cm="1">
        <f t="array" ref="O538">_xlfn.IFS(OR($K538="Ghana", $K538="Nigeria"), "Anglophone", OR($K538="Togo", $K538="Benin", $K538="Senegal"), "Francophone")</f>
        <v>Anglophone</v>
      </c>
      <c r="P538" s="1" t="str">
        <f>LEFT(Int_breweries[[#This Row],[MONTHS]], 3)</f>
        <v>Sep</v>
      </c>
    </row>
    <row r="539" spans="1:16" ht="12.5" x14ac:dyDescent="0.25">
      <c r="A539" s="1">
        <v>10638</v>
      </c>
      <c r="B539" s="1" t="s">
        <v>22</v>
      </c>
      <c r="C539" s="1" t="s">
        <v>23</v>
      </c>
      <c r="D539" t="s">
        <v>68</v>
      </c>
      <c r="E539" s="1">
        <v>80</v>
      </c>
      <c r="F539" s="1">
        <v>150</v>
      </c>
      <c r="G539" s="1">
        <v>874</v>
      </c>
      <c r="H539" s="1">
        <f>Int_breweries[[#This Row],[PLANT_COST]]*Int_breweries[[#This Row],[QUANTITY]]</f>
        <v>69920</v>
      </c>
      <c r="I539" s="1">
        <v>131100</v>
      </c>
      <c r="J539" s="1">
        <v>61180</v>
      </c>
      <c r="K539" s="1" t="s">
        <v>24</v>
      </c>
      <c r="L539" t="s">
        <v>58</v>
      </c>
      <c r="M539" s="1" t="s">
        <v>44</v>
      </c>
      <c r="N539" s="1">
        <v>2018</v>
      </c>
      <c r="O539" t="str" cm="1">
        <f t="array" ref="O539">_xlfn.IFS(OR($K539="Ghana", $K539="Nigeria"), "Anglophone", OR($K539="Togo", $K539="Benin", $K539="Senegal"), "Francophone")</f>
        <v>Francophone</v>
      </c>
      <c r="P539" s="1" t="str">
        <f>LEFT(Int_breweries[[#This Row],[MONTHS]], 3)</f>
        <v>Oct</v>
      </c>
    </row>
    <row r="540" spans="1:16" ht="12.5" x14ac:dyDescent="0.25">
      <c r="A540" s="1">
        <v>10639</v>
      </c>
      <c r="B540" s="1" t="s">
        <v>26</v>
      </c>
      <c r="C540" s="1" t="s">
        <v>27</v>
      </c>
      <c r="D540" t="s">
        <v>69</v>
      </c>
      <c r="E540" s="1">
        <v>90</v>
      </c>
      <c r="F540" s="1">
        <v>150</v>
      </c>
      <c r="G540" s="1">
        <v>822</v>
      </c>
      <c r="H540" s="1">
        <f>Int_breweries[[#This Row],[PLANT_COST]]*Int_breweries[[#This Row],[QUANTITY]]</f>
        <v>73980</v>
      </c>
      <c r="I540" s="1">
        <v>123300</v>
      </c>
      <c r="J540" s="1">
        <v>49320</v>
      </c>
      <c r="K540" s="1" t="s">
        <v>28</v>
      </c>
      <c r="L540" t="s">
        <v>59</v>
      </c>
      <c r="M540" s="1" t="s">
        <v>47</v>
      </c>
      <c r="N540" s="1">
        <v>2018</v>
      </c>
      <c r="O540" t="str" cm="1">
        <f t="array" ref="O540">_xlfn.IFS(OR($K540="Ghana", $K540="Nigeria"), "Anglophone", OR($K540="Togo", $K540="Benin", $K540="Senegal"), "Francophone")</f>
        <v>Francophone</v>
      </c>
      <c r="P540" s="1" t="str">
        <f>LEFT(Int_breweries[[#This Row],[MONTHS]], 3)</f>
        <v>Nov</v>
      </c>
    </row>
    <row r="541" spans="1:16" ht="12.5" x14ac:dyDescent="0.25">
      <c r="A541" s="1">
        <v>10640</v>
      </c>
      <c r="B541" s="1" t="s">
        <v>30</v>
      </c>
      <c r="C541" s="1" t="s">
        <v>31</v>
      </c>
      <c r="D541" t="s">
        <v>63</v>
      </c>
      <c r="E541" s="1">
        <v>150</v>
      </c>
      <c r="F541" s="1">
        <v>200</v>
      </c>
      <c r="G541" s="1">
        <v>737</v>
      </c>
      <c r="H541" s="1">
        <f>Int_breweries[[#This Row],[PLANT_COST]]*Int_breweries[[#This Row],[QUANTITY]]</f>
        <v>110550</v>
      </c>
      <c r="I541" s="1">
        <v>147400</v>
      </c>
      <c r="J541" s="1">
        <v>36850</v>
      </c>
      <c r="K541" s="1" t="s">
        <v>32</v>
      </c>
      <c r="L541" t="s">
        <v>60</v>
      </c>
      <c r="M541" s="1" t="s">
        <v>48</v>
      </c>
      <c r="N541" s="1">
        <v>2017</v>
      </c>
      <c r="O541" t="str" cm="1">
        <f t="array" ref="O541">_xlfn.IFS(OR($K541="Ghana", $K541="Nigeria"), "Anglophone", OR($K541="Togo", $K541="Benin", $K541="Senegal"), "Francophone")</f>
        <v>Francophone</v>
      </c>
      <c r="P541" s="1" t="str">
        <f>LEFT(Int_breweries[[#This Row],[MONTHS]], 3)</f>
        <v>Dec</v>
      </c>
    </row>
    <row r="542" spans="1:16" ht="12.5" x14ac:dyDescent="0.25">
      <c r="A542" s="1">
        <v>10641</v>
      </c>
      <c r="B542" s="1" t="s">
        <v>12</v>
      </c>
      <c r="C542" s="1" t="s">
        <v>13</v>
      </c>
      <c r="D542" t="s">
        <v>64</v>
      </c>
      <c r="E542" s="1">
        <v>250</v>
      </c>
      <c r="F542" s="1">
        <v>500</v>
      </c>
      <c r="G542" s="1">
        <v>759</v>
      </c>
      <c r="H542" s="1">
        <f>Int_breweries[[#This Row],[PLANT_COST]]*Int_breweries[[#This Row],[QUANTITY]]</f>
        <v>189750</v>
      </c>
      <c r="I542" s="1">
        <v>379500</v>
      </c>
      <c r="J542" s="1">
        <v>189750</v>
      </c>
      <c r="K542" s="1" t="s">
        <v>14</v>
      </c>
      <c r="L542" t="s">
        <v>61</v>
      </c>
      <c r="M542" s="1" t="s">
        <v>16</v>
      </c>
      <c r="N542" s="1">
        <v>2018</v>
      </c>
      <c r="O542" t="str" cm="1">
        <f t="array" ref="O542">_xlfn.IFS(OR($K542="Ghana", $K542="Nigeria"), "Anglophone", OR($K542="Togo", $K542="Benin", $K542="Senegal"), "Francophone")</f>
        <v>Anglophone</v>
      </c>
      <c r="P542" s="1" t="str">
        <f>LEFT(Int_breweries[[#This Row],[MONTHS]], 3)</f>
        <v>Jan</v>
      </c>
    </row>
    <row r="543" spans="1:16" ht="12.5" x14ac:dyDescent="0.25">
      <c r="A543" s="1">
        <v>10642</v>
      </c>
      <c r="B543" s="1" t="s">
        <v>35</v>
      </c>
      <c r="C543" s="1" t="s">
        <v>36</v>
      </c>
      <c r="D543" t="s">
        <v>65</v>
      </c>
      <c r="E543" s="1">
        <v>180</v>
      </c>
      <c r="F543" s="1">
        <v>450</v>
      </c>
      <c r="G543" s="1">
        <v>877</v>
      </c>
      <c r="H543" s="1">
        <f>Int_breweries[[#This Row],[PLANT_COST]]*Int_breweries[[#This Row],[QUANTITY]]</f>
        <v>157860</v>
      </c>
      <c r="I543" s="1">
        <v>394650</v>
      </c>
      <c r="J543" s="1">
        <v>236790</v>
      </c>
      <c r="K543" s="1" t="s">
        <v>19</v>
      </c>
      <c r="L543" t="s">
        <v>62</v>
      </c>
      <c r="M543" s="1" t="s">
        <v>21</v>
      </c>
      <c r="N543" s="1">
        <v>2018</v>
      </c>
      <c r="O543" t="str" cm="1">
        <f t="array" ref="O543">_xlfn.IFS(OR($K543="Ghana", $K543="Nigeria"), "Anglophone", OR($K543="Togo", $K543="Benin", $K543="Senegal"), "Francophone")</f>
        <v>Anglophone</v>
      </c>
      <c r="P543" s="1" t="str">
        <f>LEFT(Int_breweries[[#This Row],[MONTHS]], 3)</f>
        <v>Feb</v>
      </c>
    </row>
    <row r="544" spans="1:16" ht="12.5" x14ac:dyDescent="0.25">
      <c r="A544" s="1">
        <v>10643</v>
      </c>
      <c r="B544" s="1" t="s">
        <v>26</v>
      </c>
      <c r="C544" s="1" t="s">
        <v>27</v>
      </c>
      <c r="D544" t="s">
        <v>66</v>
      </c>
      <c r="E544" s="1">
        <v>170</v>
      </c>
      <c r="F544" s="1">
        <v>250</v>
      </c>
      <c r="G544" s="1">
        <v>874</v>
      </c>
      <c r="H544" s="1">
        <f>Int_breweries[[#This Row],[PLANT_COST]]*Int_breweries[[#This Row],[QUANTITY]]</f>
        <v>148580</v>
      </c>
      <c r="I544" s="1">
        <v>218500</v>
      </c>
      <c r="J544" s="1">
        <v>69920</v>
      </c>
      <c r="K544" s="1" t="s">
        <v>24</v>
      </c>
      <c r="L544" t="s">
        <v>15</v>
      </c>
      <c r="M544" s="1" t="s">
        <v>25</v>
      </c>
      <c r="N544" s="1">
        <v>2017</v>
      </c>
      <c r="O544" t="str" cm="1">
        <f t="array" ref="O544">_xlfn.IFS(OR($K544="Ghana", $K544="Nigeria"), "Anglophone", OR($K544="Togo", $K544="Benin", $K544="Senegal"), "Francophone")</f>
        <v>Francophone</v>
      </c>
      <c r="P544" s="1" t="str">
        <f>LEFT(Int_breweries[[#This Row],[MONTHS]], 3)</f>
        <v>Mar</v>
      </c>
    </row>
    <row r="545" spans="1:16" ht="12.5" x14ac:dyDescent="0.25">
      <c r="A545" s="1">
        <v>10644</v>
      </c>
      <c r="B545" s="1" t="s">
        <v>39</v>
      </c>
      <c r="C545" s="1" t="s">
        <v>40</v>
      </c>
      <c r="D545" t="s">
        <v>67</v>
      </c>
      <c r="E545" s="1">
        <v>150</v>
      </c>
      <c r="F545" s="1">
        <v>200</v>
      </c>
      <c r="G545" s="1">
        <v>763</v>
      </c>
      <c r="H545" s="1">
        <f>Int_breweries[[#This Row],[PLANT_COST]]*Int_breweries[[#This Row],[QUANTITY]]</f>
        <v>114450</v>
      </c>
      <c r="I545" s="1">
        <v>152600</v>
      </c>
      <c r="J545" s="1">
        <v>38150</v>
      </c>
      <c r="K545" s="1" t="s">
        <v>28</v>
      </c>
      <c r="L545" t="s">
        <v>58</v>
      </c>
      <c r="M545" s="1" t="s">
        <v>29</v>
      </c>
      <c r="N545" s="1">
        <v>2018</v>
      </c>
      <c r="O545" t="str" cm="1">
        <f t="array" ref="O545">_xlfn.IFS(OR($K545="Ghana", $K545="Nigeria"), "Anglophone", OR($K545="Togo", $K545="Benin", $K545="Senegal"), "Francophone")</f>
        <v>Francophone</v>
      </c>
      <c r="P545" s="1" t="str">
        <f>LEFT(Int_breweries[[#This Row],[MONTHS]], 3)</f>
        <v>Apr</v>
      </c>
    </row>
    <row r="546" spans="1:16" ht="12.5" x14ac:dyDescent="0.25">
      <c r="A546" s="1">
        <v>10645</v>
      </c>
      <c r="B546" s="1" t="s">
        <v>42</v>
      </c>
      <c r="C546" s="1" t="s">
        <v>43</v>
      </c>
      <c r="D546" t="s">
        <v>68</v>
      </c>
      <c r="E546" s="1">
        <v>80</v>
      </c>
      <c r="F546" s="1">
        <v>150</v>
      </c>
      <c r="G546" s="1">
        <v>793</v>
      </c>
      <c r="H546" s="1">
        <f>Int_breweries[[#This Row],[PLANT_COST]]*Int_breweries[[#This Row],[QUANTITY]]</f>
        <v>63440</v>
      </c>
      <c r="I546" s="1">
        <v>118950</v>
      </c>
      <c r="J546" s="1">
        <v>55510</v>
      </c>
      <c r="K546" s="1" t="s">
        <v>32</v>
      </c>
      <c r="L546" t="s">
        <v>59</v>
      </c>
      <c r="M546" s="1" t="s">
        <v>33</v>
      </c>
      <c r="N546" s="1">
        <v>2018</v>
      </c>
      <c r="O546" t="str" cm="1">
        <f t="array" ref="O546">_xlfn.IFS(OR($K546="Ghana", $K546="Nigeria"), "Anglophone", OR($K546="Togo", $K546="Benin", $K546="Senegal"), "Francophone")</f>
        <v>Francophone</v>
      </c>
      <c r="P546" s="1" t="str">
        <f>LEFT(Int_breweries[[#This Row],[MONTHS]], 3)</f>
        <v>May</v>
      </c>
    </row>
    <row r="547" spans="1:16" ht="12.5" x14ac:dyDescent="0.25">
      <c r="A547" s="1">
        <v>10646</v>
      </c>
      <c r="B547" s="1" t="s">
        <v>45</v>
      </c>
      <c r="C547" s="1" t="s">
        <v>46</v>
      </c>
      <c r="D547" t="s">
        <v>69</v>
      </c>
      <c r="E547" s="1">
        <v>90</v>
      </c>
      <c r="F547" s="1">
        <v>150</v>
      </c>
      <c r="G547" s="1">
        <v>937</v>
      </c>
      <c r="H547" s="1">
        <f>Int_breweries[[#This Row],[PLANT_COST]]*Int_breweries[[#This Row],[QUANTITY]]</f>
        <v>84330</v>
      </c>
      <c r="I547" s="1">
        <v>140550</v>
      </c>
      <c r="J547" s="1">
        <v>56220</v>
      </c>
      <c r="K547" s="1" t="s">
        <v>14</v>
      </c>
      <c r="L547" t="s">
        <v>60</v>
      </c>
      <c r="M547" s="1" t="s">
        <v>34</v>
      </c>
      <c r="N547" s="1">
        <v>2019</v>
      </c>
      <c r="O547" t="str" cm="1">
        <f t="array" ref="O547">_xlfn.IFS(OR($K547="Ghana", $K547="Nigeria"), "Anglophone", OR($K547="Togo", $K547="Benin", $K547="Senegal"), "Francophone")</f>
        <v>Anglophone</v>
      </c>
      <c r="P547" s="1" t="str">
        <f>LEFT(Int_breweries[[#This Row],[MONTHS]], 3)</f>
        <v>Jun</v>
      </c>
    </row>
    <row r="548" spans="1:16" ht="12.5" x14ac:dyDescent="0.25">
      <c r="A548" s="1">
        <v>10647</v>
      </c>
      <c r="B548" s="1" t="s">
        <v>26</v>
      </c>
      <c r="C548" s="1" t="s">
        <v>27</v>
      </c>
      <c r="D548" t="s">
        <v>63</v>
      </c>
      <c r="E548" s="1">
        <v>150</v>
      </c>
      <c r="F548" s="1">
        <v>200</v>
      </c>
      <c r="G548" s="1">
        <v>865</v>
      </c>
      <c r="H548" s="1">
        <f>Int_breweries[[#This Row],[PLANT_COST]]*Int_breweries[[#This Row],[QUANTITY]]</f>
        <v>129750</v>
      </c>
      <c r="I548" s="1">
        <v>173000</v>
      </c>
      <c r="J548" s="1">
        <v>43250</v>
      </c>
      <c r="K548" s="1" t="s">
        <v>19</v>
      </c>
      <c r="L548" t="s">
        <v>61</v>
      </c>
      <c r="M548" s="1" t="s">
        <v>37</v>
      </c>
      <c r="N548" s="1">
        <v>2018</v>
      </c>
      <c r="O548" t="str" cm="1">
        <f t="array" ref="O548">_xlfn.IFS(OR($K548="Ghana", $K548="Nigeria"), "Anglophone", OR($K548="Togo", $K548="Benin", $K548="Senegal"), "Francophone")</f>
        <v>Anglophone</v>
      </c>
      <c r="P548" s="1" t="str">
        <f>LEFT(Int_breweries[[#This Row],[MONTHS]], 3)</f>
        <v>Jul</v>
      </c>
    </row>
    <row r="549" spans="1:16" ht="12.5" x14ac:dyDescent="0.25">
      <c r="A549" s="1">
        <v>10648</v>
      </c>
      <c r="B549" s="1" t="s">
        <v>49</v>
      </c>
      <c r="C549" s="1" t="s">
        <v>50</v>
      </c>
      <c r="D549" t="s">
        <v>64</v>
      </c>
      <c r="E549" s="1">
        <v>250</v>
      </c>
      <c r="F549" s="1">
        <v>500</v>
      </c>
      <c r="G549" s="1">
        <v>942</v>
      </c>
      <c r="H549" s="1">
        <f>Int_breweries[[#This Row],[PLANT_COST]]*Int_breweries[[#This Row],[QUANTITY]]</f>
        <v>235500</v>
      </c>
      <c r="I549" s="1">
        <v>471000</v>
      </c>
      <c r="J549" s="1">
        <v>235500</v>
      </c>
      <c r="K549" s="1" t="s">
        <v>24</v>
      </c>
      <c r="L549" t="s">
        <v>62</v>
      </c>
      <c r="M549" s="1" t="s">
        <v>38</v>
      </c>
      <c r="N549" s="1">
        <v>2019</v>
      </c>
      <c r="O549" t="str" cm="1">
        <f t="array" ref="O549">_xlfn.IFS(OR($K549="Ghana", $K549="Nigeria"), "Anglophone", OR($K549="Togo", $K549="Benin", $K549="Senegal"), "Francophone")</f>
        <v>Francophone</v>
      </c>
      <c r="P549" s="1" t="str">
        <f>LEFT(Int_breweries[[#This Row],[MONTHS]], 3)</f>
        <v>Aug</v>
      </c>
    </row>
    <row r="550" spans="1:16" ht="12.5" x14ac:dyDescent="0.25">
      <c r="A550" s="1">
        <v>10649</v>
      </c>
      <c r="B550" s="1" t="s">
        <v>26</v>
      </c>
      <c r="C550" s="1" t="s">
        <v>27</v>
      </c>
      <c r="D550" t="s">
        <v>65</v>
      </c>
      <c r="E550" s="1">
        <v>180</v>
      </c>
      <c r="F550" s="1">
        <v>450</v>
      </c>
      <c r="G550" s="1">
        <v>815</v>
      </c>
      <c r="H550" s="1">
        <f>Int_breweries[[#This Row],[PLANT_COST]]*Int_breweries[[#This Row],[QUANTITY]]</f>
        <v>146700</v>
      </c>
      <c r="I550" s="1">
        <v>366750</v>
      </c>
      <c r="J550" s="1">
        <v>220050</v>
      </c>
      <c r="K550" s="1" t="s">
        <v>28</v>
      </c>
      <c r="L550" t="s">
        <v>15</v>
      </c>
      <c r="M550" s="1" t="s">
        <v>41</v>
      </c>
      <c r="N550" s="1">
        <v>2017</v>
      </c>
      <c r="O550" t="str" cm="1">
        <f t="array" ref="O550">_xlfn.IFS(OR($K550="Ghana", $K550="Nigeria"), "Anglophone", OR($K550="Togo", $K550="Benin", $K550="Senegal"), "Francophone")</f>
        <v>Francophone</v>
      </c>
      <c r="P550" s="1" t="str">
        <f>LEFT(Int_breweries[[#This Row],[MONTHS]], 3)</f>
        <v>Sep</v>
      </c>
    </row>
    <row r="551" spans="1:16" ht="12.5" x14ac:dyDescent="0.25">
      <c r="A551" s="1">
        <v>10650</v>
      </c>
      <c r="B551" s="1" t="s">
        <v>39</v>
      </c>
      <c r="C551" s="1" t="s">
        <v>40</v>
      </c>
      <c r="D551" t="s">
        <v>66</v>
      </c>
      <c r="E551" s="1">
        <v>170</v>
      </c>
      <c r="F551" s="1">
        <v>250</v>
      </c>
      <c r="G551" s="1">
        <v>958</v>
      </c>
      <c r="H551" s="1">
        <f>Int_breweries[[#This Row],[PLANT_COST]]*Int_breweries[[#This Row],[QUANTITY]]</f>
        <v>162860</v>
      </c>
      <c r="I551" s="1">
        <v>239500</v>
      </c>
      <c r="J551" s="1">
        <v>76640</v>
      </c>
      <c r="K551" s="1" t="s">
        <v>32</v>
      </c>
      <c r="L551" t="s">
        <v>58</v>
      </c>
      <c r="M551" s="1" t="s">
        <v>44</v>
      </c>
      <c r="N551" s="1">
        <v>2019</v>
      </c>
      <c r="O551" t="str" cm="1">
        <f t="array" ref="O551">_xlfn.IFS(OR($K551="Ghana", $K551="Nigeria"), "Anglophone", OR($K551="Togo", $K551="Benin", $K551="Senegal"), "Francophone")</f>
        <v>Francophone</v>
      </c>
      <c r="P551" s="1" t="str">
        <f>LEFT(Int_breweries[[#This Row],[MONTHS]], 3)</f>
        <v>Oct</v>
      </c>
    </row>
    <row r="552" spans="1:16" ht="12.5" x14ac:dyDescent="0.25">
      <c r="A552" s="1">
        <v>10651</v>
      </c>
      <c r="B552" s="1" t="s">
        <v>26</v>
      </c>
      <c r="C552" s="1" t="s">
        <v>27</v>
      </c>
      <c r="D552" t="s">
        <v>67</v>
      </c>
      <c r="E552" s="1">
        <v>150</v>
      </c>
      <c r="F552" s="1">
        <v>200</v>
      </c>
      <c r="G552" s="1">
        <v>869</v>
      </c>
      <c r="H552" s="1">
        <f>Int_breweries[[#This Row],[PLANT_COST]]*Int_breweries[[#This Row],[QUANTITY]]</f>
        <v>130350</v>
      </c>
      <c r="I552" s="1">
        <v>173800</v>
      </c>
      <c r="J552" s="1">
        <v>43450</v>
      </c>
      <c r="K552" s="1" t="s">
        <v>14</v>
      </c>
      <c r="L552" t="s">
        <v>59</v>
      </c>
      <c r="M552" s="1" t="s">
        <v>47</v>
      </c>
      <c r="N552" s="1">
        <v>2018</v>
      </c>
      <c r="O552" t="str" cm="1">
        <f t="array" ref="O552">_xlfn.IFS(OR($K552="Ghana", $K552="Nigeria"), "Anglophone", OR($K552="Togo", $K552="Benin", $K552="Senegal"), "Francophone")</f>
        <v>Anglophone</v>
      </c>
      <c r="P552" s="1" t="str">
        <f>LEFT(Int_breweries[[#This Row],[MONTHS]], 3)</f>
        <v>Nov</v>
      </c>
    </row>
    <row r="553" spans="1:16" ht="12.5" x14ac:dyDescent="0.25">
      <c r="A553" s="1">
        <v>10652</v>
      </c>
      <c r="B553" s="1" t="s">
        <v>45</v>
      </c>
      <c r="C553" s="1" t="s">
        <v>46</v>
      </c>
      <c r="D553" t="s">
        <v>68</v>
      </c>
      <c r="E553" s="1">
        <v>80</v>
      </c>
      <c r="F553" s="1">
        <v>150</v>
      </c>
      <c r="G553" s="1">
        <v>750</v>
      </c>
      <c r="H553" s="1">
        <f>Int_breweries[[#This Row],[PLANT_COST]]*Int_breweries[[#This Row],[QUANTITY]]</f>
        <v>60000</v>
      </c>
      <c r="I553" s="1">
        <v>112500</v>
      </c>
      <c r="J553" s="1">
        <v>52500</v>
      </c>
      <c r="K553" s="1" t="s">
        <v>19</v>
      </c>
      <c r="L553" t="s">
        <v>60</v>
      </c>
      <c r="M553" s="1" t="s">
        <v>48</v>
      </c>
      <c r="N553" s="1">
        <v>2018</v>
      </c>
      <c r="O553" t="str" cm="1">
        <f t="array" ref="O553">_xlfn.IFS(OR($K553="Ghana", $K553="Nigeria"), "Anglophone", OR($K553="Togo", $K553="Benin", $K553="Senegal"), "Francophone")</f>
        <v>Anglophone</v>
      </c>
      <c r="P553" s="1" t="str">
        <f>LEFT(Int_breweries[[#This Row],[MONTHS]], 3)</f>
        <v>Dec</v>
      </c>
    </row>
    <row r="554" spans="1:16" ht="12.5" x14ac:dyDescent="0.25">
      <c r="A554" s="1">
        <v>10653</v>
      </c>
      <c r="B554" s="1" t="s">
        <v>51</v>
      </c>
      <c r="C554" s="1" t="s">
        <v>52</v>
      </c>
      <c r="D554" t="s">
        <v>69</v>
      </c>
      <c r="E554" s="1">
        <v>90</v>
      </c>
      <c r="F554" s="1">
        <v>150</v>
      </c>
      <c r="G554" s="1">
        <v>702</v>
      </c>
      <c r="H554" s="1">
        <f>Int_breweries[[#This Row],[PLANT_COST]]*Int_breweries[[#This Row],[QUANTITY]]</f>
        <v>63180</v>
      </c>
      <c r="I554" s="1">
        <v>105300</v>
      </c>
      <c r="J554" s="1">
        <v>42120</v>
      </c>
      <c r="K554" s="1" t="s">
        <v>24</v>
      </c>
      <c r="L554" t="s">
        <v>61</v>
      </c>
      <c r="M554" s="1" t="s">
        <v>16</v>
      </c>
      <c r="N554" s="1">
        <v>2017</v>
      </c>
      <c r="O554" t="str" cm="1">
        <f t="array" ref="O554">_xlfn.IFS(OR($K554="Ghana", $K554="Nigeria"), "Anglophone", OR($K554="Togo", $K554="Benin", $K554="Senegal"), "Francophone")</f>
        <v>Francophone</v>
      </c>
      <c r="P554" s="1" t="str">
        <f>LEFT(Int_breweries[[#This Row],[MONTHS]], 3)</f>
        <v>Jan</v>
      </c>
    </row>
    <row r="555" spans="1:16" ht="12.5" x14ac:dyDescent="0.25">
      <c r="A555" s="1">
        <v>10654</v>
      </c>
      <c r="B555" s="1" t="s">
        <v>49</v>
      </c>
      <c r="C555" s="1" t="s">
        <v>50</v>
      </c>
      <c r="D555" t="s">
        <v>63</v>
      </c>
      <c r="E555" s="1">
        <v>150</v>
      </c>
      <c r="F555" s="1">
        <v>200</v>
      </c>
      <c r="G555" s="1">
        <v>917</v>
      </c>
      <c r="H555" s="1">
        <f>Int_breweries[[#This Row],[PLANT_COST]]*Int_breweries[[#This Row],[QUANTITY]]</f>
        <v>137550</v>
      </c>
      <c r="I555" s="1">
        <v>183400</v>
      </c>
      <c r="J555" s="1">
        <v>45850</v>
      </c>
      <c r="K555" s="1" t="s">
        <v>28</v>
      </c>
      <c r="L555" t="s">
        <v>62</v>
      </c>
      <c r="M555" s="1" t="s">
        <v>21</v>
      </c>
      <c r="N555" s="1">
        <v>2019</v>
      </c>
      <c r="O555" t="str" cm="1">
        <f t="array" ref="O555">_xlfn.IFS(OR($K555="Ghana", $K555="Nigeria"), "Anglophone", OR($K555="Togo", $K555="Benin", $K555="Senegal"), "Francophone")</f>
        <v>Francophone</v>
      </c>
      <c r="P555" s="1" t="str">
        <f>LEFT(Int_breweries[[#This Row],[MONTHS]], 3)</f>
        <v>Feb</v>
      </c>
    </row>
    <row r="556" spans="1:16" ht="12.5" x14ac:dyDescent="0.25">
      <c r="A556" s="1">
        <v>10655</v>
      </c>
      <c r="B556" s="1" t="s">
        <v>45</v>
      </c>
      <c r="C556" s="1" t="s">
        <v>46</v>
      </c>
      <c r="D556" t="s">
        <v>64</v>
      </c>
      <c r="E556" s="1">
        <v>250</v>
      </c>
      <c r="F556" s="1">
        <v>500</v>
      </c>
      <c r="G556" s="1">
        <v>914</v>
      </c>
      <c r="H556" s="1">
        <f>Int_breweries[[#This Row],[PLANT_COST]]*Int_breweries[[#This Row],[QUANTITY]]</f>
        <v>228500</v>
      </c>
      <c r="I556" s="1">
        <v>457000</v>
      </c>
      <c r="J556" s="1">
        <v>228500</v>
      </c>
      <c r="K556" s="1" t="s">
        <v>32</v>
      </c>
      <c r="L556" t="s">
        <v>15</v>
      </c>
      <c r="M556" s="1" t="s">
        <v>25</v>
      </c>
      <c r="N556" s="1">
        <v>2019</v>
      </c>
      <c r="O556" t="str" cm="1">
        <f t="array" ref="O556">_xlfn.IFS(OR($K556="Ghana", $K556="Nigeria"), "Anglophone", OR($K556="Togo", $K556="Benin", $K556="Senegal"), "Francophone")</f>
        <v>Francophone</v>
      </c>
      <c r="P556" s="1" t="str">
        <f>LEFT(Int_breweries[[#This Row],[MONTHS]], 3)</f>
        <v>Mar</v>
      </c>
    </row>
    <row r="557" spans="1:16" ht="12.5" x14ac:dyDescent="0.25">
      <c r="A557" s="1">
        <v>10656</v>
      </c>
      <c r="B557" s="1" t="s">
        <v>17</v>
      </c>
      <c r="C557" s="1" t="s">
        <v>18</v>
      </c>
      <c r="D557" t="s">
        <v>65</v>
      </c>
      <c r="E557" s="1">
        <v>180</v>
      </c>
      <c r="F557" s="1">
        <v>450</v>
      </c>
      <c r="G557" s="1">
        <v>817</v>
      </c>
      <c r="H557" s="1">
        <f>Int_breweries[[#This Row],[PLANT_COST]]*Int_breweries[[#This Row],[QUANTITY]]</f>
        <v>147060</v>
      </c>
      <c r="I557" s="1">
        <v>367650</v>
      </c>
      <c r="J557" s="1">
        <v>220590</v>
      </c>
      <c r="K557" s="1" t="s">
        <v>14</v>
      </c>
      <c r="L557" t="s">
        <v>58</v>
      </c>
      <c r="M557" s="1" t="s">
        <v>29</v>
      </c>
      <c r="N557" s="1">
        <v>2018</v>
      </c>
      <c r="O557" t="str" cm="1">
        <f t="array" ref="O557">_xlfn.IFS(OR($K557="Ghana", $K557="Nigeria"), "Anglophone", OR($K557="Togo", $K557="Benin", $K557="Senegal"), "Francophone")</f>
        <v>Anglophone</v>
      </c>
      <c r="P557" s="1" t="str">
        <f>LEFT(Int_breweries[[#This Row],[MONTHS]], 3)</f>
        <v>Apr</v>
      </c>
    </row>
    <row r="558" spans="1:16" ht="12.5" x14ac:dyDescent="0.25">
      <c r="A558" s="1">
        <v>10657</v>
      </c>
      <c r="B558" s="1" t="s">
        <v>49</v>
      </c>
      <c r="C558" s="1" t="s">
        <v>50</v>
      </c>
      <c r="D558" t="s">
        <v>66</v>
      </c>
      <c r="E558" s="1">
        <v>170</v>
      </c>
      <c r="F558" s="1">
        <v>250</v>
      </c>
      <c r="G558" s="1">
        <v>913</v>
      </c>
      <c r="H558" s="1">
        <f>Int_breweries[[#This Row],[PLANT_COST]]*Int_breweries[[#This Row],[QUANTITY]]</f>
        <v>155210</v>
      </c>
      <c r="I558" s="1">
        <v>228250</v>
      </c>
      <c r="J558" s="1">
        <v>73040</v>
      </c>
      <c r="K558" s="1" t="s">
        <v>19</v>
      </c>
      <c r="L558" t="s">
        <v>59</v>
      </c>
      <c r="M558" s="1" t="s">
        <v>33</v>
      </c>
      <c r="N558" s="1">
        <v>2018</v>
      </c>
      <c r="O558" t="str" cm="1">
        <f t="array" ref="O558">_xlfn.IFS(OR($K558="Ghana", $K558="Nigeria"), "Anglophone", OR($K558="Togo", $K558="Benin", $K558="Senegal"), "Francophone")</f>
        <v>Anglophone</v>
      </c>
      <c r="P558" s="1" t="str">
        <f>LEFT(Int_breweries[[#This Row],[MONTHS]], 3)</f>
        <v>May</v>
      </c>
    </row>
    <row r="559" spans="1:16" ht="12.5" x14ac:dyDescent="0.25">
      <c r="A559" s="1">
        <v>10658</v>
      </c>
      <c r="B559" s="1" t="s">
        <v>26</v>
      </c>
      <c r="C559" s="1" t="s">
        <v>27</v>
      </c>
      <c r="D559" t="s">
        <v>67</v>
      </c>
      <c r="E559" s="1">
        <v>150</v>
      </c>
      <c r="F559" s="1">
        <v>200</v>
      </c>
      <c r="G559" s="1">
        <v>705</v>
      </c>
      <c r="H559" s="1">
        <f>Int_breweries[[#This Row],[PLANT_COST]]*Int_breweries[[#This Row],[QUANTITY]]</f>
        <v>105750</v>
      </c>
      <c r="I559" s="1">
        <v>141000</v>
      </c>
      <c r="J559" s="1">
        <v>35250</v>
      </c>
      <c r="K559" s="1" t="s">
        <v>24</v>
      </c>
      <c r="L559" t="s">
        <v>60</v>
      </c>
      <c r="M559" s="1" t="s">
        <v>34</v>
      </c>
      <c r="N559" s="1">
        <v>2018</v>
      </c>
      <c r="O559" t="str" cm="1">
        <f t="array" ref="O559">_xlfn.IFS(OR($K559="Ghana", $K559="Nigeria"), "Anglophone", OR($K559="Togo", $K559="Benin", $K559="Senegal"), "Francophone")</f>
        <v>Francophone</v>
      </c>
      <c r="P559" s="1" t="str">
        <f>LEFT(Int_breweries[[#This Row],[MONTHS]], 3)</f>
        <v>Jun</v>
      </c>
    </row>
    <row r="560" spans="1:16" ht="12.5" x14ac:dyDescent="0.25">
      <c r="A560" s="1">
        <v>10659</v>
      </c>
      <c r="B560" s="1" t="s">
        <v>22</v>
      </c>
      <c r="C560" s="1" t="s">
        <v>23</v>
      </c>
      <c r="D560" t="s">
        <v>68</v>
      </c>
      <c r="E560" s="1">
        <v>80</v>
      </c>
      <c r="F560" s="1">
        <v>150</v>
      </c>
      <c r="G560" s="1">
        <v>964</v>
      </c>
      <c r="H560" s="1">
        <f>Int_breweries[[#This Row],[PLANT_COST]]*Int_breweries[[#This Row],[QUANTITY]]</f>
        <v>77120</v>
      </c>
      <c r="I560" s="1">
        <v>144600</v>
      </c>
      <c r="J560" s="1">
        <v>67480</v>
      </c>
      <c r="K560" s="1" t="s">
        <v>28</v>
      </c>
      <c r="L560" t="s">
        <v>61</v>
      </c>
      <c r="M560" s="1" t="s">
        <v>37</v>
      </c>
      <c r="N560" s="1">
        <v>2017</v>
      </c>
      <c r="O560" t="str" cm="1">
        <f t="array" ref="O560">_xlfn.IFS(OR($K560="Ghana", $K560="Nigeria"), "Anglophone", OR($K560="Togo", $K560="Benin", $K560="Senegal"), "Francophone")</f>
        <v>Francophone</v>
      </c>
      <c r="P560" s="1" t="str">
        <f>LEFT(Int_breweries[[#This Row],[MONTHS]], 3)</f>
        <v>Jul</v>
      </c>
    </row>
    <row r="561" spans="1:16" ht="12.5" x14ac:dyDescent="0.25">
      <c r="A561" s="1">
        <v>10660</v>
      </c>
      <c r="B561" s="1" t="s">
        <v>12</v>
      </c>
      <c r="C561" s="1" t="s">
        <v>13</v>
      </c>
      <c r="D561" t="s">
        <v>69</v>
      </c>
      <c r="E561" s="1">
        <v>90</v>
      </c>
      <c r="F561" s="1">
        <v>150</v>
      </c>
      <c r="G561" s="1">
        <v>891</v>
      </c>
      <c r="H561" s="1">
        <f>Int_breweries[[#This Row],[PLANT_COST]]*Int_breweries[[#This Row],[QUANTITY]]</f>
        <v>80190</v>
      </c>
      <c r="I561" s="1">
        <v>133650</v>
      </c>
      <c r="J561" s="1">
        <v>53460</v>
      </c>
      <c r="K561" s="1" t="s">
        <v>32</v>
      </c>
      <c r="L561" t="s">
        <v>62</v>
      </c>
      <c r="M561" s="1" t="s">
        <v>38</v>
      </c>
      <c r="N561" s="1">
        <v>2017</v>
      </c>
      <c r="O561" t="str" cm="1">
        <f t="array" ref="O561">_xlfn.IFS(OR($K561="Ghana", $K561="Nigeria"), "Anglophone", OR($K561="Togo", $K561="Benin", $K561="Senegal"), "Francophone")</f>
        <v>Francophone</v>
      </c>
      <c r="P561" s="1" t="str">
        <f>LEFT(Int_breweries[[#This Row],[MONTHS]], 3)</f>
        <v>Aug</v>
      </c>
    </row>
    <row r="562" spans="1:16" ht="12.5" x14ac:dyDescent="0.25">
      <c r="A562" s="1">
        <v>10661</v>
      </c>
      <c r="B562" s="1" t="s">
        <v>30</v>
      </c>
      <c r="C562" s="1" t="s">
        <v>31</v>
      </c>
      <c r="D562" t="s">
        <v>63</v>
      </c>
      <c r="E562" s="1">
        <v>150</v>
      </c>
      <c r="F562" s="1">
        <v>200</v>
      </c>
      <c r="G562" s="1">
        <v>977</v>
      </c>
      <c r="H562" s="1">
        <f>Int_breweries[[#This Row],[PLANT_COST]]*Int_breweries[[#This Row],[QUANTITY]]</f>
        <v>146550</v>
      </c>
      <c r="I562" s="1">
        <v>195400</v>
      </c>
      <c r="J562" s="1">
        <v>48850</v>
      </c>
      <c r="K562" s="1" t="s">
        <v>14</v>
      </c>
      <c r="L562" t="s">
        <v>15</v>
      </c>
      <c r="M562" s="1" t="s">
        <v>41</v>
      </c>
      <c r="N562" s="1">
        <v>2019</v>
      </c>
      <c r="O562" t="str" cm="1">
        <f t="array" ref="O562">_xlfn.IFS(OR($K562="Ghana", $K562="Nigeria"), "Anglophone", OR($K562="Togo", $K562="Benin", $K562="Senegal"), "Francophone")</f>
        <v>Anglophone</v>
      </c>
      <c r="P562" s="1" t="str">
        <f>LEFT(Int_breweries[[#This Row],[MONTHS]], 3)</f>
        <v>Sep</v>
      </c>
    </row>
    <row r="563" spans="1:16" ht="12.5" x14ac:dyDescent="0.25">
      <c r="A563" s="1">
        <v>10662</v>
      </c>
      <c r="B563" s="1" t="s">
        <v>42</v>
      </c>
      <c r="C563" s="1" t="s">
        <v>43</v>
      </c>
      <c r="D563" t="s">
        <v>64</v>
      </c>
      <c r="E563" s="1">
        <v>250</v>
      </c>
      <c r="F563" s="1">
        <v>500</v>
      </c>
      <c r="G563" s="1">
        <v>948</v>
      </c>
      <c r="H563" s="1">
        <f>Int_breweries[[#This Row],[PLANT_COST]]*Int_breweries[[#This Row],[QUANTITY]]</f>
        <v>237000</v>
      </c>
      <c r="I563" s="1">
        <v>474000</v>
      </c>
      <c r="J563" s="1">
        <v>237000</v>
      </c>
      <c r="K563" s="1" t="s">
        <v>19</v>
      </c>
      <c r="L563" t="s">
        <v>58</v>
      </c>
      <c r="M563" s="1" t="s">
        <v>44</v>
      </c>
      <c r="N563" s="1">
        <v>2019</v>
      </c>
      <c r="O563" t="str" cm="1">
        <f t="array" ref="O563">_xlfn.IFS(OR($K563="Ghana", $K563="Nigeria"), "Anglophone", OR($K563="Togo", $K563="Benin", $K563="Senegal"), "Francophone")</f>
        <v>Anglophone</v>
      </c>
      <c r="P563" s="1" t="str">
        <f>LEFT(Int_breweries[[#This Row],[MONTHS]], 3)</f>
        <v>Oct</v>
      </c>
    </row>
    <row r="564" spans="1:16" ht="12.5" x14ac:dyDescent="0.25">
      <c r="A564" s="1">
        <v>10663</v>
      </c>
      <c r="B564" s="1" t="s">
        <v>17</v>
      </c>
      <c r="C564" s="1" t="s">
        <v>18</v>
      </c>
      <c r="D564" t="s">
        <v>65</v>
      </c>
      <c r="E564" s="1">
        <v>180</v>
      </c>
      <c r="F564" s="1">
        <v>450</v>
      </c>
      <c r="G564" s="1">
        <v>751</v>
      </c>
      <c r="H564" s="1">
        <f>Int_breweries[[#This Row],[PLANT_COST]]*Int_breweries[[#This Row],[QUANTITY]]</f>
        <v>135180</v>
      </c>
      <c r="I564" s="1">
        <v>337950</v>
      </c>
      <c r="J564" s="1">
        <v>202770</v>
      </c>
      <c r="K564" s="1" t="s">
        <v>24</v>
      </c>
      <c r="L564" t="s">
        <v>59</v>
      </c>
      <c r="M564" s="1" t="s">
        <v>47</v>
      </c>
      <c r="N564" s="1">
        <v>2017</v>
      </c>
      <c r="O564" t="str" cm="1">
        <f t="array" ref="O564">_xlfn.IFS(OR($K564="Ghana", $K564="Nigeria"), "Anglophone", OR($K564="Togo", $K564="Benin", $K564="Senegal"), "Francophone")</f>
        <v>Francophone</v>
      </c>
      <c r="P564" s="1" t="str">
        <f>LEFT(Int_breweries[[#This Row],[MONTHS]], 3)</f>
        <v>Nov</v>
      </c>
    </row>
    <row r="565" spans="1:16" ht="12.5" x14ac:dyDescent="0.25">
      <c r="A565" s="1">
        <v>10664</v>
      </c>
      <c r="B565" s="1" t="s">
        <v>17</v>
      </c>
      <c r="C565" s="1" t="s">
        <v>18</v>
      </c>
      <c r="D565" t="s">
        <v>66</v>
      </c>
      <c r="E565" s="1">
        <v>170</v>
      </c>
      <c r="F565" s="1">
        <v>250</v>
      </c>
      <c r="G565" s="1">
        <v>827</v>
      </c>
      <c r="H565" s="1">
        <f>Int_breweries[[#This Row],[PLANT_COST]]*Int_breweries[[#This Row],[QUANTITY]]</f>
        <v>140590</v>
      </c>
      <c r="I565" s="1">
        <v>206750</v>
      </c>
      <c r="J565" s="1">
        <v>66160</v>
      </c>
      <c r="K565" s="1" t="s">
        <v>28</v>
      </c>
      <c r="L565" t="s">
        <v>60</v>
      </c>
      <c r="M565" s="1" t="s">
        <v>48</v>
      </c>
      <c r="N565" s="1">
        <v>2017</v>
      </c>
      <c r="O565" t="str" cm="1">
        <f t="array" ref="O565">_xlfn.IFS(OR($K565="Ghana", $K565="Nigeria"), "Anglophone", OR($K565="Togo", $K565="Benin", $K565="Senegal"), "Francophone")</f>
        <v>Francophone</v>
      </c>
      <c r="P565" s="1" t="str">
        <f>LEFT(Int_breweries[[#This Row],[MONTHS]], 3)</f>
        <v>Dec</v>
      </c>
    </row>
    <row r="566" spans="1:16" ht="12.5" x14ac:dyDescent="0.25">
      <c r="A566" s="1">
        <v>10665</v>
      </c>
      <c r="B566" s="1" t="s">
        <v>51</v>
      </c>
      <c r="C566" s="1" t="s">
        <v>52</v>
      </c>
      <c r="D566" t="s">
        <v>67</v>
      </c>
      <c r="E566" s="1">
        <v>150</v>
      </c>
      <c r="F566" s="1">
        <v>200</v>
      </c>
      <c r="G566" s="1">
        <v>943</v>
      </c>
      <c r="H566" s="1">
        <f>Int_breweries[[#This Row],[PLANT_COST]]*Int_breweries[[#This Row],[QUANTITY]]</f>
        <v>141450</v>
      </c>
      <c r="I566" s="1">
        <v>188600</v>
      </c>
      <c r="J566" s="1">
        <v>47150</v>
      </c>
      <c r="K566" s="1" t="s">
        <v>32</v>
      </c>
      <c r="L566" t="s">
        <v>61</v>
      </c>
      <c r="M566" s="1" t="s">
        <v>16</v>
      </c>
      <c r="N566" s="1">
        <v>2019</v>
      </c>
      <c r="O566" t="str" cm="1">
        <f t="array" ref="O566">_xlfn.IFS(OR($K566="Ghana", $K566="Nigeria"), "Anglophone", OR($K566="Togo", $K566="Benin", $K566="Senegal"), "Francophone")</f>
        <v>Francophone</v>
      </c>
      <c r="P566" s="1" t="str">
        <f>LEFT(Int_breweries[[#This Row],[MONTHS]], 3)</f>
        <v>Jan</v>
      </c>
    </row>
    <row r="567" spans="1:16" ht="12.5" x14ac:dyDescent="0.25">
      <c r="A567" s="1">
        <v>10666</v>
      </c>
      <c r="B567" s="1" t="s">
        <v>26</v>
      </c>
      <c r="C567" s="1" t="s">
        <v>27</v>
      </c>
      <c r="D567" t="s">
        <v>68</v>
      </c>
      <c r="E567" s="1">
        <v>80</v>
      </c>
      <c r="F567" s="1">
        <v>150</v>
      </c>
      <c r="G567" s="1">
        <v>901</v>
      </c>
      <c r="H567" s="1">
        <f>Int_breweries[[#This Row],[PLANT_COST]]*Int_breweries[[#This Row],[QUANTITY]]</f>
        <v>72080</v>
      </c>
      <c r="I567" s="1">
        <v>135150</v>
      </c>
      <c r="J567" s="1">
        <v>63070</v>
      </c>
      <c r="K567" s="1" t="s">
        <v>14</v>
      </c>
      <c r="L567" t="s">
        <v>62</v>
      </c>
      <c r="M567" s="1" t="s">
        <v>21</v>
      </c>
      <c r="N567" s="1">
        <v>2019</v>
      </c>
      <c r="O567" t="str" cm="1">
        <f t="array" ref="O567">_xlfn.IFS(OR($K567="Ghana", $K567="Nigeria"), "Anglophone", OR($K567="Togo", $K567="Benin", $K567="Senegal"), "Francophone")</f>
        <v>Anglophone</v>
      </c>
      <c r="P567" s="1" t="str">
        <f>LEFT(Int_breweries[[#This Row],[MONTHS]], 3)</f>
        <v>Feb</v>
      </c>
    </row>
    <row r="568" spans="1:16" ht="12.5" x14ac:dyDescent="0.25">
      <c r="A568" s="1">
        <v>10667</v>
      </c>
      <c r="B568" s="1" t="s">
        <v>39</v>
      </c>
      <c r="C568" s="1" t="s">
        <v>40</v>
      </c>
      <c r="D568" t="s">
        <v>69</v>
      </c>
      <c r="E568" s="1">
        <v>90</v>
      </c>
      <c r="F568" s="1">
        <v>150</v>
      </c>
      <c r="G568" s="1">
        <v>907</v>
      </c>
      <c r="H568" s="1">
        <f>Int_breweries[[#This Row],[PLANT_COST]]*Int_breweries[[#This Row],[QUANTITY]]</f>
        <v>81630</v>
      </c>
      <c r="I568" s="1">
        <v>136050</v>
      </c>
      <c r="J568" s="1">
        <v>54420</v>
      </c>
      <c r="K568" s="1" t="s">
        <v>19</v>
      </c>
      <c r="L568" t="s">
        <v>15</v>
      </c>
      <c r="M568" s="1" t="s">
        <v>25</v>
      </c>
      <c r="N568" s="1">
        <v>2019</v>
      </c>
      <c r="O568" t="str" cm="1">
        <f t="array" ref="O568">_xlfn.IFS(OR($K568="Ghana", $K568="Nigeria"), "Anglophone", OR($K568="Togo", $K568="Benin", $K568="Senegal"), "Francophone")</f>
        <v>Anglophone</v>
      </c>
      <c r="P568" s="1" t="str">
        <f>LEFT(Int_breweries[[#This Row],[MONTHS]], 3)</f>
        <v>Mar</v>
      </c>
    </row>
    <row r="569" spans="1:16" ht="12.5" x14ac:dyDescent="0.25">
      <c r="A569" s="1">
        <v>10668</v>
      </c>
      <c r="B569" s="1" t="s">
        <v>51</v>
      </c>
      <c r="C569" s="1" t="s">
        <v>52</v>
      </c>
      <c r="D569" t="s">
        <v>63</v>
      </c>
      <c r="E569" s="1">
        <v>150</v>
      </c>
      <c r="F569" s="1">
        <v>200</v>
      </c>
      <c r="G569" s="1">
        <v>755</v>
      </c>
      <c r="H569" s="1">
        <f>Int_breweries[[#This Row],[PLANT_COST]]*Int_breweries[[#This Row],[QUANTITY]]</f>
        <v>113250</v>
      </c>
      <c r="I569" s="1">
        <v>151000</v>
      </c>
      <c r="J569" s="1">
        <v>37750</v>
      </c>
      <c r="K569" s="1" t="s">
        <v>24</v>
      </c>
      <c r="L569" t="s">
        <v>58</v>
      </c>
      <c r="M569" s="1" t="s">
        <v>29</v>
      </c>
      <c r="N569" s="1">
        <v>2018</v>
      </c>
      <c r="O569" t="str" cm="1">
        <f t="array" ref="O569">_xlfn.IFS(OR($K569="Ghana", $K569="Nigeria"), "Anglophone", OR($K569="Togo", $K569="Benin", $K569="Senegal"), "Francophone")</f>
        <v>Francophone</v>
      </c>
      <c r="P569" s="1" t="str">
        <f>LEFT(Int_breweries[[#This Row],[MONTHS]], 3)</f>
        <v>Apr</v>
      </c>
    </row>
    <row r="570" spans="1:16" ht="12.5" x14ac:dyDescent="0.25">
      <c r="A570" s="1">
        <v>10669</v>
      </c>
      <c r="B570" s="1" t="s">
        <v>22</v>
      </c>
      <c r="C570" s="1" t="s">
        <v>23</v>
      </c>
      <c r="D570" t="s">
        <v>64</v>
      </c>
      <c r="E570" s="1">
        <v>250</v>
      </c>
      <c r="F570" s="1">
        <v>500</v>
      </c>
      <c r="G570" s="1">
        <v>802</v>
      </c>
      <c r="H570" s="1">
        <f>Int_breweries[[#This Row],[PLANT_COST]]*Int_breweries[[#This Row],[QUANTITY]]</f>
        <v>200500</v>
      </c>
      <c r="I570" s="1">
        <v>401000</v>
      </c>
      <c r="J570" s="1">
        <v>200500</v>
      </c>
      <c r="K570" s="1" t="s">
        <v>28</v>
      </c>
      <c r="L570" t="s">
        <v>59</v>
      </c>
      <c r="M570" s="1" t="s">
        <v>33</v>
      </c>
      <c r="N570" s="1">
        <v>2017</v>
      </c>
      <c r="O570" t="str" cm="1">
        <f t="array" ref="O570">_xlfn.IFS(OR($K570="Ghana", $K570="Nigeria"), "Anglophone", OR($K570="Togo", $K570="Benin", $K570="Senegal"), "Francophone")</f>
        <v>Francophone</v>
      </c>
      <c r="P570" s="1" t="str">
        <f>LEFT(Int_breweries[[#This Row],[MONTHS]], 3)</f>
        <v>May</v>
      </c>
    </row>
    <row r="571" spans="1:16" ht="12.5" x14ac:dyDescent="0.25">
      <c r="A571" s="1">
        <v>10670</v>
      </c>
      <c r="B571" s="1" t="s">
        <v>17</v>
      </c>
      <c r="C571" s="1" t="s">
        <v>18</v>
      </c>
      <c r="D571" t="s">
        <v>65</v>
      </c>
      <c r="E571" s="1">
        <v>180</v>
      </c>
      <c r="F571" s="1">
        <v>450</v>
      </c>
      <c r="G571" s="1">
        <v>919</v>
      </c>
      <c r="H571" s="1">
        <f>Int_breweries[[#This Row],[PLANT_COST]]*Int_breweries[[#This Row],[QUANTITY]]</f>
        <v>165420</v>
      </c>
      <c r="I571" s="1">
        <v>413550</v>
      </c>
      <c r="J571" s="1">
        <v>248130</v>
      </c>
      <c r="K571" s="1" t="s">
        <v>32</v>
      </c>
      <c r="L571" t="s">
        <v>60</v>
      </c>
      <c r="M571" s="1" t="s">
        <v>34</v>
      </c>
      <c r="N571" s="1">
        <v>2019</v>
      </c>
      <c r="O571" t="str" cm="1">
        <f t="array" ref="O571">_xlfn.IFS(OR($K571="Ghana", $K571="Nigeria"), "Anglophone", OR($K571="Togo", $K571="Benin", $K571="Senegal"), "Francophone")</f>
        <v>Francophone</v>
      </c>
      <c r="P571" s="1" t="str">
        <f>LEFT(Int_breweries[[#This Row],[MONTHS]], 3)</f>
        <v>Jun</v>
      </c>
    </row>
    <row r="572" spans="1:16" ht="12.5" x14ac:dyDescent="0.25">
      <c r="A572" s="1">
        <v>10671</v>
      </c>
      <c r="B572" s="1" t="s">
        <v>22</v>
      </c>
      <c r="C572" s="1" t="s">
        <v>23</v>
      </c>
      <c r="D572" t="s">
        <v>66</v>
      </c>
      <c r="E572" s="1">
        <v>170</v>
      </c>
      <c r="F572" s="1">
        <v>250</v>
      </c>
      <c r="G572" s="1">
        <v>824</v>
      </c>
      <c r="H572" s="1">
        <f>Int_breweries[[#This Row],[PLANT_COST]]*Int_breweries[[#This Row],[QUANTITY]]</f>
        <v>140080</v>
      </c>
      <c r="I572" s="1">
        <v>206000</v>
      </c>
      <c r="J572" s="1">
        <v>65920</v>
      </c>
      <c r="K572" s="1" t="s">
        <v>14</v>
      </c>
      <c r="L572" t="s">
        <v>61</v>
      </c>
      <c r="M572" s="1" t="s">
        <v>37</v>
      </c>
      <c r="N572" s="1">
        <v>2017</v>
      </c>
      <c r="O572" t="str" cm="1">
        <f t="array" ref="O572">_xlfn.IFS(OR($K572="Ghana", $K572="Nigeria"), "Anglophone", OR($K572="Togo", $K572="Benin", $K572="Senegal"), "Francophone")</f>
        <v>Anglophone</v>
      </c>
      <c r="P572" s="1" t="str">
        <f>LEFT(Int_breweries[[#This Row],[MONTHS]], 3)</f>
        <v>Jul</v>
      </c>
    </row>
    <row r="573" spans="1:16" ht="12.5" x14ac:dyDescent="0.25">
      <c r="A573" s="1">
        <v>10672</v>
      </c>
      <c r="B573" s="1" t="s">
        <v>35</v>
      </c>
      <c r="C573" s="1" t="s">
        <v>36</v>
      </c>
      <c r="D573" t="s">
        <v>67</v>
      </c>
      <c r="E573" s="1">
        <v>150</v>
      </c>
      <c r="F573" s="1">
        <v>200</v>
      </c>
      <c r="G573" s="1">
        <v>730</v>
      </c>
      <c r="H573" s="1">
        <f>Int_breweries[[#This Row],[PLANT_COST]]*Int_breweries[[#This Row],[QUANTITY]]</f>
        <v>109500</v>
      </c>
      <c r="I573" s="1">
        <v>146000</v>
      </c>
      <c r="J573" s="1">
        <v>36500</v>
      </c>
      <c r="K573" s="1" t="s">
        <v>19</v>
      </c>
      <c r="L573" t="s">
        <v>62</v>
      </c>
      <c r="M573" s="1" t="s">
        <v>38</v>
      </c>
      <c r="N573" s="1">
        <v>2017</v>
      </c>
      <c r="O573" t="str" cm="1">
        <f t="array" ref="O573">_xlfn.IFS(OR($K573="Ghana", $K573="Nigeria"), "Anglophone", OR($K573="Togo", $K573="Benin", $K573="Senegal"), "Francophone")</f>
        <v>Anglophone</v>
      </c>
      <c r="P573" s="1" t="str">
        <f>LEFT(Int_breweries[[#This Row],[MONTHS]], 3)</f>
        <v>Aug</v>
      </c>
    </row>
    <row r="574" spans="1:16" ht="12.5" x14ac:dyDescent="0.25">
      <c r="A574" s="1">
        <v>10673</v>
      </c>
      <c r="B574" s="1" t="s">
        <v>30</v>
      </c>
      <c r="C574" s="1" t="s">
        <v>31</v>
      </c>
      <c r="D574" t="s">
        <v>68</v>
      </c>
      <c r="E574" s="1">
        <v>80</v>
      </c>
      <c r="F574" s="1">
        <v>150</v>
      </c>
      <c r="G574" s="1">
        <v>798</v>
      </c>
      <c r="H574" s="1">
        <f>Int_breweries[[#This Row],[PLANT_COST]]*Int_breweries[[#This Row],[QUANTITY]]</f>
        <v>63840</v>
      </c>
      <c r="I574" s="1">
        <v>119700</v>
      </c>
      <c r="J574" s="1">
        <v>55860</v>
      </c>
      <c r="K574" s="1" t="s">
        <v>24</v>
      </c>
      <c r="L574" t="s">
        <v>15</v>
      </c>
      <c r="M574" s="1" t="s">
        <v>41</v>
      </c>
      <c r="N574" s="1">
        <v>2018</v>
      </c>
      <c r="O574" t="str" cm="1">
        <f t="array" ref="O574">_xlfn.IFS(OR($K574="Ghana", $K574="Nigeria"), "Anglophone", OR($K574="Togo", $K574="Benin", $K574="Senegal"), "Francophone")</f>
        <v>Francophone</v>
      </c>
      <c r="P574" s="1" t="str">
        <f>LEFT(Int_breweries[[#This Row],[MONTHS]], 3)</f>
        <v>Sep</v>
      </c>
    </row>
    <row r="575" spans="1:16" ht="12.5" x14ac:dyDescent="0.25">
      <c r="A575" s="1">
        <v>10674</v>
      </c>
      <c r="B575" s="1" t="s">
        <v>12</v>
      </c>
      <c r="C575" s="1" t="s">
        <v>13</v>
      </c>
      <c r="D575" t="s">
        <v>69</v>
      </c>
      <c r="E575" s="1">
        <v>90</v>
      </c>
      <c r="F575" s="1">
        <v>150</v>
      </c>
      <c r="G575" s="1">
        <v>811</v>
      </c>
      <c r="H575" s="1">
        <f>Int_breweries[[#This Row],[PLANT_COST]]*Int_breweries[[#This Row],[QUANTITY]]</f>
        <v>72990</v>
      </c>
      <c r="I575" s="1">
        <v>121650</v>
      </c>
      <c r="J575" s="1">
        <v>48660</v>
      </c>
      <c r="K575" s="1" t="s">
        <v>28</v>
      </c>
      <c r="L575" t="s">
        <v>58</v>
      </c>
      <c r="M575" s="1" t="s">
        <v>44</v>
      </c>
      <c r="N575" s="1">
        <v>2018</v>
      </c>
      <c r="O575" t="str" cm="1">
        <f t="array" ref="O575">_xlfn.IFS(OR($K575="Ghana", $K575="Nigeria"), "Anglophone", OR($K575="Togo", $K575="Benin", $K575="Senegal"), "Francophone")</f>
        <v>Francophone</v>
      </c>
      <c r="P575" s="1" t="str">
        <f>LEFT(Int_breweries[[#This Row],[MONTHS]], 3)</f>
        <v>Oct</v>
      </c>
    </row>
    <row r="576" spans="1:16" ht="12.5" x14ac:dyDescent="0.25">
      <c r="A576" s="1">
        <v>10675</v>
      </c>
      <c r="B576" s="1" t="s">
        <v>12</v>
      </c>
      <c r="C576" s="1" t="s">
        <v>13</v>
      </c>
      <c r="D576" t="s">
        <v>63</v>
      </c>
      <c r="E576" s="1">
        <v>150</v>
      </c>
      <c r="F576" s="1">
        <v>200</v>
      </c>
      <c r="G576" s="1">
        <v>912</v>
      </c>
      <c r="H576" s="1">
        <f>Int_breweries[[#This Row],[PLANT_COST]]*Int_breweries[[#This Row],[QUANTITY]]</f>
        <v>136800</v>
      </c>
      <c r="I576" s="1">
        <v>182400</v>
      </c>
      <c r="J576" s="1">
        <v>45600</v>
      </c>
      <c r="K576" s="1" t="s">
        <v>32</v>
      </c>
      <c r="L576" t="s">
        <v>59</v>
      </c>
      <c r="M576" s="1" t="s">
        <v>47</v>
      </c>
      <c r="N576" s="1">
        <v>2018</v>
      </c>
      <c r="O576" t="str" cm="1">
        <f t="array" ref="O576">_xlfn.IFS(OR($K576="Ghana", $K576="Nigeria"), "Anglophone", OR($K576="Togo", $K576="Benin", $K576="Senegal"), "Francophone")</f>
        <v>Francophone</v>
      </c>
      <c r="P576" s="1" t="str">
        <f>LEFT(Int_breweries[[#This Row],[MONTHS]], 3)</f>
        <v>Nov</v>
      </c>
    </row>
    <row r="577" spans="1:16" ht="12.5" x14ac:dyDescent="0.25">
      <c r="A577" s="1">
        <v>10676</v>
      </c>
      <c r="B577" s="1" t="s">
        <v>30</v>
      </c>
      <c r="C577" s="1" t="s">
        <v>31</v>
      </c>
      <c r="D577" t="s">
        <v>64</v>
      </c>
      <c r="E577" s="1">
        <v>250</v>
      </c>
      <c r="F577" s="1">
        <v>500</v>
      </c>
      <c r="G577" s="1">
        <v>836</v>
      </c>
      <c r="H577" s="1">
        <f>Int_breweries[[#This Row],[PLANT_COST]]*Int_breweries[[#This Row],[QUANTITY]]</f>
        <v>209000</v>
      </c>
      <c r="I577" s="1">
        <v>418000</v>
      </c>
      <c r="J577" s="1">
        <v>209000</v>
      </c>
      <c r="K577" s="1" t="s">
        <v>14</v>
      </c>
      <c r="L577" t="s">
        <v>60</v>
      </c>
      <c r="M577" s="1" t="s">
        <v>48</v>
      </c>
      <c r="N577" s="1">
        <v>2017</v>
      </c>
      <c r="O577" t="str" cm="1">
        <f t="array" ref="O577">_xlfn.IFS(OR($K577="Ghana", $K577="Nigeria"), "Anglophone", OR($K577="Togo", $K577="Benin", $K577="Senegal"), "Francophone")</f>
        <v>Anglophone</v>
      </c>
      <c r="P577" s="1" t="str">
        <f>LEFT(Int_breweries[[#This Row],[MONTHS]], 3)</f>
        <v>Dec</v>
      </c>
    </row>
    <row r="578" spans="1:16" ht="12.5" x14ac:dyDescent="0.25">
      <c r="A578" s="1">
        <v>10677</v>
      </c>
      <c r="B578" s="1" t="s">
        <v>12</v>
      </c>
      <c r="C578" s="1" t="s">
        <v>13</v>
      </c>
      <c r="D578" t="s">
        <v>65</v>
      </c>
      <c r="E578" s="1">
        <v>180</v>
      </c>
      <c r="F578" s="1">
        <v>450</v>
      </c>
      <c r="G578" s="1">
        <v>953</v>
      </c>
      <c r="H578" s="1">
        <f>Int_breweries[[#This Row],[PLANT_COST]]*Int_breweries[[#This Row],[QUANTITY]]</f>
        <v>171540</v>
      </c>
      <c r="I578" s="1">
        <v>428850</v>
      </c>
      <c r="J578" s="1">
        <v>257310</v>
      </c>
      <c r="K578" s="1" t="s">
        <v>19</v>
      </c>
      <c r="L578" t="s">
        <v>61</v>
      </c>
      <c r="M578" s="1" t="s">
        <v>16</v>
      </c>
      <c r="N578" s="1">
        <v>2018</v>
      </c>
      <c r="O578" t="str" cm="1">
        <f t="array" ref="O578">_xlfn.IFS(OR($K578="Ghana", $K578="Nigeria"), "Anglophone", OR($K578="Togo", $K578="Benin", $K578="Senegal"), "Francophone")</f>
        <v>Anglophone</v>
      </c>
      <c r="P578" s="1" t="str">
        <f>LEFT(Int_breweries[[#This Row],[MONTHS]], 3)</f>
        <v>Jan</v>
      </c>
    </row>
    <row r="579" spans="1:16" ht="12.5" x14ac:dyDescent="0.25">
      <c r="A579" s="1">
        <v>10678</v>
      </c>
      <c r="B579" s="1" t="s">
        <v>17</v>
      </c>
      <c r="C579" s="1" t="s">
        <v>18</v>
      </c>
      <c r="D579" t="s">
        <v>66</v>
      </c>
      <c r="E579" s="1">
        <v>170</v>
      </c>
      <c r="F579" s="1">
        <v>250</v>
      </c>
      <c r="G579" s="1">
        <v>908</v>
      </c>
      <c r="H579" s="1">
        <f>Int_breweries[[#This Row],[PLANT_COST]]*Int_breweries[[#This Row],[QUANTITY]]</f>
        <v>154360</v>
      </c>
      <c r="I579" s="1">
        <v>227000</v>
      </c>
      <c r="J579" s="1">
        <v>72640</v>
      </c>
      <c r="K579" s="1" t="s">
        <v>24</v>
      </c>
      <c r="L579" t="s">
        <v>62</v>
      </c>
      <c r="M579" s="1" t="s">
        <v>21</v>
      </c>
      <c r="N579" s="1">
        <v>2018</v>
      </c>
      <c r="O579" t="str" cm="1">
        <f t="array" ref="O579">_xlfn.IFS(OR($K579="Ghana", $K579="Nigeria"), "Anglophone", OR($K579="Togo", $K579="Benin", $K579="Senegal"), "Francophone")</f>
        <v>Francophone</v>
      </c>
      <c r="P579" s="1" t="str">
        <f>LEFT(Int_breweries[[#This Row],[MONTHS]], 3)</f>
        <v>Feb</v>
      </c>
    </row>
    <row r="580" spans="1:16" ht="12.5" x14ac:dyDescent="0.25">
      <c r="A580" s="1">
        <v>10679</v>
      </c>
      <c r="B580" s="1" t="s">
        <v>22</v>
      </c>
      <c r="C580" s="1" t="s">
        <v>23</v>
      </c>
      <c r="D580" t="s">
        <v>67</v>
      </c>
      <c r="E580" s="1">
        <v>150</v>
      </c>
      <c r="F580" s="1">
        <v>200</v>
      </c>
      <c r="G580" s="1">
        <v>859</v>
      </c>
      <c r="H580" s="1">
        <f>Int_breweries[[#This Row],[PLANT_COST]]*Int_breweries[[#This Row],[QUANTITY]]</f>
        <v>128850</v>
      </c>
      <c r="I580" s="1">
        <v>171800</v>
      </c>
      <c r="J580" s="1">
        <v>42950</v>
      </c>
      <c r="K580" s="1" t="s">
        <v>28</v>
      </c>
      <c r="L580" t="s">
        <v>15</v>
      </c>
      <c r="M580" s="1" t="s">
        <v>25</v>
      </c>
      <c r="N580" s="1">
        <v>2019</v>
      </c>
      <c r="O580" t="str" cm="1">
        <f t="array" ref="O580">_xlfn.IFS(OR($K580="Ghana", $K580="Nigeria"), "Anglophone", OR($K580="Togo", $K580="Benin", $K580="Senegal"), "Francophone")</f>
        <v>Francophone</v>
      </c>
      <c r="P580" s="1" t="str">
        <f>LEFT(Int_breweries[[#This Row],[MONTHS]], 3)</f>
        <v>Mar</v>
      </c>
    </row>
    <row r="581" spans="1:16" ht="12.5" x14ac:dyDescent="0.25">
      <c r="A581" s="1">
        <v>10680</v>
      </c>
      <c r="B581" s="1" t="s">
        <v>26</v>
      </c>
      <c r="C581" s="1" t="s">
        <v>27</v>
      </c>
      <c r="D581" t="s">
        <v>68</v>
      </c>
      <c r="E581" s="1">
        <v>80</v>
      </c>
      <c r="F581" s="1">
        <v>150</v>
      </c>
      <c r="G581" s="1">
        <v>928</v>
      </c>
      <c r="H581" s="1">
        <f>Int_breweries[[#This Row],[PLANT_COST]]*Int_breweries[[#This Row],[QUANTITY]]</f>
        <v>74240</v>
      </c>
      <c r="I581" s="1">
        <v>139200</v>
      </c>
      <c r="J581" s="1">
        <v>64960</v>
      </c>
      <c r="K581" s="1" t="s">
        <v>32</v>
      </c>
      <c r="L581" t="s">
        <v>58</v>
      </c>
      <c r="M581" s="1" t="s">
        <v>29</v>
      </c>
      <c r="N581" s="1">
        <v>2017</v>
      </c>
      <c r="O581" t="str" cm="1">
        <f t="array" ref="O581">_xlfn.IFS(OR($K581="Ghana", $K581="Nigeria"), "Anglophone", OR($K581="Togo", $K581="Benin", $K581="Senegal"), "Francophone")</f>
        <v>Francophone</v>
      </c>
      <c r="P581" s="1" t="str">
        <f>LEFT(Int_breweries[[#This Row],[MONTHS]], 3)</f>
        <v>Apr</v>
      </c>
    </row>
    <row r="582" spans="1:16" ht="12.5" x14ac:dyDescent="0.25">
      <c r="A582" s="1">
        <v>10681</v>
      </c>
      <c r="B582" s="1" t="s">
        <v>30</v>
      </c>
      <c r="C582" s="1" t="s">
        <v>31</v>
      </c>
      <c r="D582" t="s">
        <v>69</v>
      </c>
      <c r="E582" s="1">
        <v>90</v>
      </c>
      <c r="F582" s="1">
        <v>150</v>
      </c>
      <c r="G582" s="1">
        <v>716</v>
      </c>
      <c r="H582" s="1">
        <f>Int_breweries[[#This Row],[PLANT_COST]]*Int_breweries[[#This Row],[QUANTITY]]</f>
        <v>64440</v>
      </c>
      <c r="I582" s="1">
        <v>107400</v>
      </c>
      <c r="J582" s="1">
        <v>42960</v>
      </c>
      <c r="K582" s="1" t="s">
        <v>14</v>
      </c>
      <c r="L582" t="s">
        <v>59</v>
      </c>
      <c r="M582" s="1" t="s">
        <v>33</v>
      </c>
      <c r="N582" s="1">
        <v>2019</v>
      </c>
      <c r="O582" t="str" cm="1">
        <f t="array" ref="O582">_xlfn.IFS(OR($K582="Ghana", $K582="Nigeria"), "Anglophone", OR($K582="Togo", $K582="Benin", $K582="Senegal"), "Francophone")</f>
        <v>Anglophone</v>
      </c>
      <c r="P582" s="1" t="str">
        <f>LEFT(Int_breweries[[#This Row],[MONTHS]], 3)</f>
        <v>May</v>
      </c>
    </row>
    <row r="583" spans="1:16" ht="12.5" x14ac:dyDescent="0.25">
      <c r="A583" s="1">
        <v>10682</v>
      </c>
      <c r="B583" s="1" t="s">
        <v>12</v>
      </c>
      <c r="C583" s="1" t="s">
        <v>13</v>
      </c>
      <c r="D583" t="s">
        <v>63</v>
      </c>
      <c r="E583" s="1">
        <v>150</v>
      </c>
      <c r="F583" s="1">
        <v>200</v>
      </c>
      <c r="G583" s="1">
        <v>946</v>
      </c>
      <c r="H583" s="1">
        <f>Int_breweries[[#This Row],[PLANT_COST]]*Int_breweries[[#This Row],[QUANTITY]]</f>
        <v>141900</v>
      </c>
      <c r="I583" s="1">
        <v>189200</v>
      </c>
      <c r="J583" s="1">
        <v>47300</v>
      </c>
      <c r="K583" s="1" t="s">
        <v>19</v>
      </c>
      <c r="L583" t="s">
        <v>60</v>
      </c>
      <c r="M583" s="1" t="s">
        <v>34</v>
      </c>
      <c r="N583" s="1">
        <v>2017</v>
      </c>
      <c r="O583" t="str" cm="1">
        <f t="array" ref="O583">_xlfn.IFS(OR($K583="Ghana", $K583="Nigeria"), "Anglophone", OR($K583="Togo", $K583="Benin", $K583="Senegal"), "Francophone")</f>
        <v>Anglophone</v>
      </c>
      <c r="P583" s="1" t="str">
        <f>LEFT(Int_breweries[[#This Row],[MONTHS]], 3)</f>
        <v>Jun</v>
      </c>
    </row>
    <row r="584" spans="1:16" ht="12.5" x14ac:dyDescent="0.25">
      <c r="A584" s="1">
        <v>10683</v>
      </c>
      <c r="B584" s="1" t="s">
        <v>35</v>
      </c>
      <c r="C584" s="1" t="s">
        <v>36</v>
      </c>
      <c r="D584" t="s">
        <v>64</v>
      </c>
      <c r="E584" s="1">
        <v>250</v>
      </c>
      <c r="F584" s="1">
        <v>500</v>
      </c>
      <c r="G584" s="1">
        <v>913</v>
      </c>
      <c r="H584" s="1">
        <f>Int_breweries[[#This Row],[PLANT_COST]]*Int_breweries[[#This Row],[QUANTITY]]</f>
        <v>228250</v>
      </c>
      <c r="I584" s="1">
        <v>456500</v>
      </c>
      <c r="J584" s="1">
        <v>228250</v>
      </c>
      <c r="K584" s="1" t="s">
        <v>24</v>
      </c>
      <c r="L584" t="s">
        <v>61</v>
      </c>
      <c r="M584" s="1" t="s">
        <v>37</v>
      </c>
      <c r="N584" s="1">
        <v>2018</v>
      </c>
      <c r="O584" t="str" cm="1">
        <f t="array" ref="O584">_xlfn.IFS(OR($K584="Ghana", $K584="Nigeria"), "Anglophone", OR($K584="Togo", $K584="Benin", $K584="Senegal"), "Francophone")</f>
        <v>Francophone</v>
      </c>
      <c r="P584" s="1" t="str">
        <f>LEFT(Int_breweries[[#This Row],[MONTHS]], 3)</f>
        <v>Jul</v>
      </c>
    </row>
    <row r="585" spans="1:16" ht="12.5" x14ac:dyDescent="0.25">
      <c r="A585" s="1">
        <v>10684</v>
      </c>
      <c r="B585" s="1" t="s">
        <v>26</v>
      </c>
      <c r="C585" s="1" t="s">
        <v>27</v>
      </c>
      <c r="D585" t="s">
        <v>65</v>
      </c>
      <c r="E585" s="1">
        <v>180</v>
      </c>
      <c r="F585" s="1">
        <v>450</v>
      </c>
      <c r="G585" s="1">
        <v>947</v>
      </c>
      <c r="H585" s="1">
        <f>Int_breweries[[#This Row],[PLANT_COST]]*Int_breweries[[#This Row],[QUANTITY]]</f>
        <v>170460</v>
      </c>
      <c r="I585" s="1">
        <v>426150</v>
      </c>
      <c r="J585" s="1">
        <v>255690</v>
      </c>
      <c r="K585" s="1" t="s">
        <v>28</v>
      </c>
      <c r="L585" t="s">
        <v>62</v>
      </c>
      <c r="M585" s="1" t="s">
        <v>38</v>
      </c>
      <c r="N585" s="1">
        <v>2019</v>
      </c>
      <c r="O585" t="str" cm="1">
        <f t="array" ref="O585">_xlfn.IFS(OR($K585="Ghana", $K585="Nigeria"), "Anglophone", OR($K585="Togo", $K585="Benin", $K585="Senegal"), "Francophone")</f>
        <v>Francophone</v>
      </c>
      <c r="P585" s="1" t="str">
        <f>LEFT(Int_breweries[[#This Row],[MONTHS]], 3)</f>
        <v>Aug</v>
      </c>
    </row>
    <row r="586" spans="1:16" ht="12.5" x14ac:dyDescent="0.25">
      <c r="A586" s="1">
        <v>10685</v>
      </c>
      <c r="B586" s="1" t="s">
        <v>39</v>
      </c>
      <c r="C586" s="1" t="s">
        <v>40</v>
      </c>
      <c r="D586" t="s">
        <v>66</v>
      </c>
      <c r="E586" s="1">
        <v>170</v>
      </c>
      <c r="F586" s="1">
        <v>250</v>
      </c>
      <c r="G586" s="1">
        <v>743</v>
      </c>
      <c r="H586" s="1">
        <f>Int_breweries[[#This Row],[PLANT_COST]]*Int_breweries[[#This Row],[QUANTITY]]</f>
        <v>126310</v>
      </c>
      <c r="I586" s="1">
        <v>185750</v>
      </c>
      <c r="J586" s="1">
        <v>59440</v>
      </c>
      <c r="K586" s="1" t="s">
        <v>32</v>
      </c>
      <c r="L586" t="s">
        <v>15</v>
      </c>
      <c r="M586" s="1" t="s">
        <v>41</v>
      </c>
      <c r="N586" s="1">
        <v>2018</v>
      </c>
      <c r="O586" t="str" cm="1">
        <f t="array" ref="O586">_xlfn.IFS(OR($K586="Ghana", $K586="Nigeria"), "Anglophone", OR($K586="Togo", $K586="Benin", $K586="Senegal"), "Francophone")</f>
        <v>Francophone</v>
      </c>
      <c r="P586" s="1" t="str">
        <f>LEFT(Int_breweries[[#This Row],[MONTHS]], 3)</f>
        <v>Sep</v>
      </c>
    </row>
    <row r="587" spans="1:16" ht="12.5" x14ac:dyDescent="0.25">
      <c r="A587" s="1">
        <v>10686</v>
      </c>
      <c r="B587" s="1" t="s">
        <v>42</v>
      </c>
      <c r="C587" s="1" t="s">
        <v>43</v>
      </c>
      <c r="D587" t="s">
        <v>67</v>
      </c>
      <c r="E587" s="1">
        <v>150</v>
      </c>
      <c r="F587" s="1">
        <v>200</v>
      </c>
      <c r="G587" s="1">
        <v>788</v>
      </c>
      <c r="H587" s="1">
        <f>Int_breweries[[#This Row],[PLANT_COST]]*Int_breweries[[#This Row],[QUANTITY]]</f>
        <v>118200</v>
      </c>
      <c r="I587" s="1">
        <v>157600</v>
      </c>
      <c r="J587" s="1">
        <v>39400</v>
      </c>
      <c r="K587" s="1" t="s">
        <v>14</v>
      </c>
      <c r="L587" t="s">
        <v>58</v>
      </c>
      <c r="M587" s="1" t="s">
        <v>44</v>
      </c>
      <c r="N587" s="1">
        <v>2018</v>
      </c>
      <c r="O587" t="str" cm="1">
        <f t="array" ref="O587">_xlfn.IFS(OR($K587="Ghana", $K587="Nigeria"), "Anglophone", OR($K587="Togo", $K587="Benin", $K587="Senegal"), "Francophone")</f>
        <v>Anglophone</v>
      </c>
      <c r="P587" s="1" t="str">
        <f>LEFT(Int_breweries[[#This Row],[MONTHS]], 3)</f>
        <v>Oct</v>
      </c>
    </row>
    <row r="588" spans="1:16" ht="12.5" x14ac:dyDescent="0.25">
      <c r="A588" s="1">
        <v>10687</v>
      </c>
      <c r="B588" s="1" t="s">
        <v>45</v>
      </c>
      <c r="C588" s="1" t="s">
        <v>46</v>
      </c>
      <c r="D588" t="s">
        <v>68</v>
      </c>
      <c r="E588" s="1">
        <v>80</v>
      </c>
      <c r="F588" s="1">
        <v>150</v>
      </c>
      <c r="G588" s="1">
        <v>810</v>
      </c>
      <c r="H588" s="1">
        <f>Int_breweries[[#This Row],[PLANT_COST]]*Int_breweries[[#This Row],[QUANTITY]]</f>
        <v>64800</v>
      </c>
      <c r="I588" s="1">
        <v>121500</v>
      </c>
      <c r="J588" s="1">
        <v>56700</v>
      </c>
      <c r="K588" s="1" t="s">
        <v>19</v>
      </c>
      <c r="L588" t="s">
        <v>59</v>
      </c>
      <c r="M588" s="1" t="s">
        <v>47</v>
      </c>
      <c r="N588" s="1">
        <v>2017</v>
      </c>
      <c r="O588" t="str" cm="1">
        <f t="array" ref="O588">_xlfn.IFS(OR($K588="Ghana", $K588="Nigeria"), "Anglophone", OR($K588="Togo", $K588="Benin", $K588="Senegal"), "Francophone")</f>
        <v>Anglophone</v>
      </c>
      <c r="P588" s="1" t="str">
        <f>LEFT(Int_breweries[[#This Row],[MONTHS]], 3)</f>
        <v>Nov</v>
      </c>
    </row>
    <row r="589" spans="1:16" ht="12.5" x14ac:dyDescent="0.25">
      <c r="A589" s="1">
        <v>10688</v>
      </c>
      <c r="B589" s="1" t="s">
        <v>26</v>
      </c>
      <c r="C589" s="1" t="s">
        <v>27</v>
      </c>
      <c r="D589" t="s">
        <v>69</v>
      </c>
      <c r="E589" s="1">
        <v>90</v>
      </c>
      <c r="F589" s="1">
        <v>150</v>
      </c>
      <c r="G589" s="1">
        <v>784</v>
      </c>
      <c r="H589" s="1">
        <f>Int_breweries[[#This Row],[PLANT_COST]]*Int_breweries[[#This Row],[QUANTITY]]</f>
        <v>70560</v>
      </c>
      <c r="I589" s="1">
        <v>117600</v>
      </c>
      <c r="J589" s="1">
        <v>47040</v>
      </c>
      <c r="K589" s="1" t="s">
        <v>24</v>
      </c>
      <c r="L589" t="s">
        <v>60</v>
      </c>
      <c r="M589" s="1" t="s">
        <v>48</v>
      </c>
      <c r="N589" s="1">
        <v>2018</v>
      </c>
      <c r="O589" t="str" cm="1">
        <f t="array" ref="O589">_xlfn.IFS(OR($K589="Ghana", $K589="Nigeria"), "Anglophone", OR($K589="Togo", $K589="Benin", $K589="Senegal"), "Francophone")</f>
        <v>Francophone</v>
      </c>
      <c r="P589" s="1" t="str">
        <f>LEFT(Int_breweries[[#This Row],[MONTHS]], 3)</f>
        <v>Dec</v>
      </c>
    </row>
    <row r="590" spans="1:16" ht="12.5" x14ac:dyDescent="0.25">
      <c r="A590" s="1">
        <v>10689</v>
      </c>
      <c r="B590" s="1" t="s">
        <v>49</v>
      </c>
      <c r="C590" s="1" t="s">
        <v>50</v>
      </c>
      <c r="D590" t="s">
        <v>63</v>
      </c>
      <c r="E590" s="1">
        <v>150</v>
      </c>
      <c r="F590" s="1">
        <v>200</v>
      </c>
      <c r="G590" s="1">
        <v>813</v>
      </c>
      <c r="H590" s="1">
        <f>Int_breweries[[#This Row],[PLANT_COST]]*Int_breweries[[#This Row],[QUANTITY]]</f>
        <v>121950</v>
      </c>
      <c r="I590" s="1">
        <v>162600</v>
      </c>
      <c r="J590" s="1">
        <v>40650</v>
      </c>
      <c r="K590" s="1" t="s">
        <v>28</v>
      </c>
      <c r="L590" t="s">
        <v>61</v>
      </c>
      <c r="M590" s="1" t="s">
        <v>16</v>
      </c>
      <c r="N590" s="1">
        <v>2017</v>
      </c>
      <c r="O590" t="str" cm="1">
        <f t="array" ref="O590">_xlfn.IFS(OR($K590="Ghana", $K590="Nigeria"), "Anglophone", OR($K590="Togo", $K590="Benin", $K590="Senegal"), "Francophone")</f>
        <v>Francophone</v>
      </c>
      <c r="P590" s="1" t="str">
        <f>LEFT(Int_breweries[[#This Row],[MONTHS]], 3)</f>
        <v>Jan</v>
      </c>
    </row>
    <row r="591" spans="1:16" ht="12.5" x14ac:dyDescent="0.25">
      <c r="A591" s="1">
        <v>10690</v>
      </c>
      <c r="B591" s="1" t="s">
        <v>26</v>
      </c>
      <c r="C591" s="1" t="s">
        <v>27</v>
      </c>
      <c r="D591" t="s">
        <v>64</v>
      </c>
      <c r="E591" s="1">
        <v>250</v>
      </c>
      <c r="F591" s="1">
        <v>500</v>
      </c>
      <c r="G591" s="1">
        <v>998</v>
      </c>
      <c r="H591" s="1">
        <f>Int_breweries[[#This Row],[PLANT_COST]]*Int_breweries[[#This Row],[QUANTITY]]</f>
        <v>249500</v>
      </c>
      <c r="I591" s="1">
        <v>499000</v>
      </c>
      <c r="J591" s="1">
        <v>249500</v>
      </c>
      <c r="K591" s="1" t="s">
        <v>32</v>
      </c>
      <c r="L591" t="s">
        <v>62</v>
      </c>
      <c r="M591" s="1" t="s">
        <v>21</v>
      </c>
      <c r="N591" s="1">
        <v>2017</v>
      </c>
      <c r="O591" t="str" cm="1">
        <f t="array" ref="O591">_xlfn.IFS(OR($K591="Ghana", $K591="Nigeria"), "Anglophone", OR($K591="Togo", $K591="Benin", $K591="Senegal"), "Francophone")</f>
        <v>Francophone</v>
      </c>
      <c r="P591" s="1" t="str">
        <f>LEFT(Int_breweries[[#This Row],[MONTHS]], 3)</f>
        <v>Feb</v>
      </c>
    </row>
    <row r="592" spans="1:16" ht="12.5" x14ac:dyDescent="0.25">
      <c r="A592" s="1">
        <v>10691</v>
      </c>
      <c r="B592" s="1" t="s">
        <v>39</v>
      </c>
      <c r="C592" s="1" t="s">
        <v>40</v>
      </c>
      <c r="D592" t="s">
        <v>65</v>
      </c>
      <c r="E592" s="1">
        <v>180</v>
      </c>
      <c r="F592" s="1">
        <v>450</v>
      </c>
      <c r="G592" s="1">
        <v>889</v>
      </c>
      <c r="H592" s="1">
        <f>Int_breweries[[#This Row],[PLANT_COST]]*Int_breweries[[#This Row],[QUANTITY]]</f>
        <v>160020</v>
      </c>
      <c r="I592" s="1">
        <v>400050</v>
      </c>
      <c r="J592" s="1">
        <v>240030</v>
      </c>
      <c r="K592" s="1" t="s">
        <v>14</v>
      </c>
      <c r="L592" t="s">
        <v>15</v>
      </c>
      <c r="M592" s="1" t="s">
        <v>25</v>
      </c>
      <c r="N592" s="1">
        <v>2018</v>
      </c>
      <c r="O592" t="str" cm="1">
        <f t="array" ref="O592">_xlfn.IFS(OR($K592="Ghana", $K592="Nigeria"), "Anglophone", OR($K592="Togo", $K592="Benin", $K592="Senegal"), "Francophone")</f>
        <v>Anglophone</v>
      </c>
      <c r="P592" s="1" t="str">
        <f>LEFT(Int_breweries[[#This Row],[MONTHS]], 3)</f>
        <v>Mar</v>
      </c>
    </row>
    <row r="593" spans="1:16" ht="12.5" x14ac:dyDescent="0.25">
      <c r="A593" s="1">
        <v>10692</v>
      </c>
      <c r="B593" s="1" t="s">
        <v>26</v>
      </c>
      <c r="C593" s="1" t="s">
        <v>27</v>
      </c>
      <c r="D593" t="s">
        <v>66</v>
      </c>
      <c r="E593" s="1">
        <v>170</v>
      </c>
      <c r="F593" s="1">
        <v>250</v>
      </c>
      <c r="G593" s="1">
        <v>783</v>
      </c>
      <c r="H593" s="1">
        <f>Int_breweries[[#This Row],[PLANT_COST]]*Int_breweries[[#This Row],[QUANTITY]]</f>
        <v>133110</v>
      </c>
      <c r="I593" s="1">
        <v>195750</v>
      </c>
      <c r="J593" s="1">
        <v>62640</v>
      </c>
      <c r="K593" s="1" t="s">
        <v>19</v>
      </c>
      <c r="L593" t="s">
        <v>58</v>
      </c>
      <c r="M593" s="1" t="s">
        <v>29</v>
      </c>
      <c r="N593" s="1">
        <v>2019</v>
      </c>
      <c r="O593" t="str" cm="1">
        <f t="array" ref="O593">_xlfn.IFS(OR($K593="Ghana", $K593="Nigeria"), "Anglophone", OR($K593="Togo", $K593="Benin", $K593="Senegal"), "Francophone")</f>
        <v>Anglophone</v>
      </c>
      <c r="P593" s="1" t="str">
        <f>LEFT(Int_breweries[[#This Row],[MONTHS]], 3)</f>
        <v>Apr</v>
      </c>
    </row>
    <row r="594" spans="1:16" ht="12.5" x14ac:dyDescent="0.25">
      <c r="A594" s="1">
        <v>10693</v>
      </c>
      <c r="B594" s="1" t="s">
        <v>45</v>
      </c>
      <c r="C594" s="1" t="s">
        <v>46</v>
      </c>
      <c r="D594" t="s">
        <v>67</v>
      </c>
      <c r="E594" s="1">
        <v>150</v>
      </c>
      <c r="F594" s="1">
        <v>200</v>
      </c>
      <c r="G594" s="1">
        <v>866</v>
      </c>
      <c r="H594" s="1">
        <f>Int_breweries[[#This Row],[PLANT_COST]]*Int_breweries[[#This Row],[QUANTITY]]</f>
        <v>129900</v>
      </c>
      <c r="I594" s="1">
        <v>173200</v>
      </c>
      <c r="J594" s="1">
        <v>43300</v>
      </c>
      <c r="K594" s="1" t="s">
        <v>24</v>
      </c>
      <c r="L594" t="s">
        <v>59</v>
      </c>
      <c r="M594" s="1" t="s">
        <v>33</v>
      </c>
      <c r="N594" s="1">
        <v>2017</v>
      </c>
      <c r="O594" t="str" cm="1">
        <f t="array" ref="O594">_xlfn.IFS(OR($K594="Ghana", $K594="Nigeria"), "Anglophone", OR($K594="Togo", $K594="Benin", $K594="Senegal"), "Francophone")</f>
        <v>Francophone</v>
      </c>
      <c r="P594" s="1" t="str">
        <f>LEFT(Int_breweries[[#This Row],[MONTHS]], 3)</f>
        <v>May</v>
      </c>
    </row>
    <row r="595" spans="1:16" ht="12.5" x14ac:dyDescent="0.25">
      <c r="A595" s="1">
        <v>10694</v>
      </c>
      <c r="B595" s="1" t="s">
        <v>51</v>
      </c>
      <c r="C595" s="1" t="s">
        <v>52</v>
      </c>
      <c r="D595" t="s">
        <v>68</v>
      </c>
      <c r="E595" s="1">
        <v>80</v>
      </c>
      <c r="F595" s="1">
        <v>150</v>
      </c>
      <c r="G595" s="1">
        <v>840</v>
      </c>
      <c r="H595" s="1">
        <f>Int_breweries[[#This Row],[PLANT_COST]]*Int_breweries[[#This Row],[QUANTITY]]</f>
        <v>67200</v>
      </c>
      <c r="I595" s="1">
        <v>126000</v>
      </c>
      <c r="J595" s="1">
        <v>58800</v>
      </c>
      <c r="K595" s="1" t="s">
        <v>28</v>
      </c>
      <c r="L595" t="s">
        <v>60</v>
      </c>
      <c r="M595" s="1" t="s">
        <v>34</v>
      </c>
      <c r="N595" s="1">
        <v>2018</v>
      </c>
      <c r="O595" t="str" cm="1">
        <f t="array" ref="O595">_xlfn.IFS(OR($K595="Ghana", $K595="Nigeria"), "Anglophone", OR($K595="Togo", $K595="Benin", $K595="Senegal"), "Francophone")</f>
        <v>Francophone</v>
      </c>
      <c r="P595" s="1" t="str">
        <f>LEFT(Int_breweries[[#This Row],[MONTHS]], 3)</f>
        <v>Jun</v>
      </c>
    </row>
    <row r="596" spans="1:16" ht="12.5" x14ac:dyDescent="0.25">
      <c r="A596" s="1">
        <v>10695</v>
      </c>
      <c r="B596" s="1" t="s">
        <v>49</v>
      </c>
      <c r="C596" s="1" t="s">
        <v>50</v>
      </c>
      <c r="D596" t="s">
        <v>69</v>
      </c>
      <c r="E596" s="1">
        <v>90</v>
      </c>
      <c r="F596" s="1">
        <v>150</v>
      </c>
      <c r="G596" s="1">
        <v>905</v>
      </c>
      <c r="H596" s="1">
        <f>Int_breweries[[#This Row],[PLANT_COST]]*Int_breweries[[#This Row],[QUANTITY]]</f>
        <v>81450</v>
      </c>
      <c r="I596" s="1">
        <v>135750</v>
      </c>
      <c r="J596" s="1">
        <v>54300</v>
      </c>
      <c r="K596" s="1" t="s">
        <v>32</v>
      </c>
      <c r="L596" t="s">
        <v>61</v>
      </c>
      <c r="M596" s="1" t="s">
        <v>37</v>
      </c>
      <c r="N596" s="1">
        <v>2017</v>
      </c>
      <c r="O596" t="str" cm="1">
        <f t="array" ref="O596">_xlfn.IFS(OR($K596="Ghana", $K596="Nigeria"), "Anglophone", OR($K596="Togo", $K596="Benin", $K596="Senegal"), "Francophone")</f>
        <v>Francophone</v>
      </c>
      <c r="P596" s="1" t="str">
        <f>LEFT(Int_breweries[[#This Row],[MONTHS]], 3)</f>
        <v>Jul</v>
      </c>
    </row>
    <row r="597" spans="1:16" ht="12.5" x14ac:dyDescent="0.25">
      <c r="A597" s="1">
        <v>10696</v>
      </c>
      <c r="B597" s="1" t="s">
        <v>45</v>
      </c>
      <c r="C597" s="1" t="s">
        <v>46</v>
      </c>
      <c r="D597" t="s">
        <v>63</v>
      </c>
      <c r="E597" s="1">
        <v>150</v>
      </c>
      <c r="F597" s="1">
        <v>200</v>
      </c>
      <c r="G597" s="1">
        <v>814</v>
      </c>
      <c r="H597" s="1">
        <f>Int_breweries[[#This Row],[PLANT_COST]]*Int_breweries[[#This Row],[QUANTITY]]</f>
        <v>122100</v>
      </c>
      <c r="I597" s="1">
        <v>162800</v>
      </c>
      <c r="J597" s="1">
        <v>40700</v>
      </c>
      <c r="K597" s="1" t="s">
        <v>14</v>
      </c>
      <c r="L597" t="s">
        <v>62</v>
      </c>
      <c r="M597" s="1" t="s">
        <v>38</v>
      </c>
      <c r="N597" s="1">
        <v>2019</v>
      </c>
      <c r="O597" t="str" cm="1">
        <f t="array" ref="O597">_xlfn.IFS(OR($K597="Ghana", $K597="Nigeria"), "Anglophone", OR($K597="Togo", $K597="Benin", $K597="Senegal"), "Francophone")</f>
        <v>Anglophone</v>
      </c>
      <c r="P597" s="1" t="str">
        <f>LEFT(Int_breweries[[#This Row],[MONTHS]], 3)</f>
        <v>Aug</v>
      </c>
    </row>
    <row r="598" spans="1:16" ht="12.5" x14ac:dyDescent="0.25">
      <c r="A598" s="1">
        <v>10697</v>
      </c>
      <c r="B598" s="1" t="s">
        <v>17</v>
      </c>
      <c r="C598" s="1" t="s">
        <v>18</v>
      </c>
      <c r="D598" t="s">
        <v>64</v>
      </c>
      <c r="E598" s="1">
        <v>250</v>
      </c>
      <c r="F598" s="1">
        <v>500</v>
      </c>
      <c r="G598" s="1">
        <v>878</v>
      </c>
      <c r="H598" s="1">
        <f>Int_breweries[[#This Row],[PLANT_COST]]*Int_breweries[[#This Row],[QUANTITY]]</f>
        <v>219500</v>
      </c>
      <c r="I598" s="1">
        <v>439000</v>
      </c>
      <c r="J598" s="1">
        <v>219500</v>
      </c>
      <c r="K598" s="1" t="s">
        <v>19</v>
      </c>
      <c r="L598" t="s">
        <v>15</v>
      </c>
      <c r="M598" s="1" t="s">
        <v>41</v>
      </c>
      <c r="N598" s="1">
        <v>2018</v>
      </c>
      <c r="O598" t="str" cm="1">
        <f t="array" ref="O598">_xlfn.IFS(OR($K598="Ghana", $K598="Nigeria"), "Anglophone", OR($K598="Togo", $K598="Benin", $K598="Senegal"), "Francophone")</f>
        <v>Anglophone</v>
      </c>
      <c r="P598" s="1" t="str">
        <f>LEFT(Int_breweries[[#This Row],[MONTHS]], 3)</f>
        <v>Sep</v>
      </c>
    </row>
    <row r="599" spans="1:16" ht="12.5" x14ac:dyDescent="0.25">
      <c r="A599" s="1">
        <v>10698</v>
      </c>
      <c r="B599" s="1" t="s">
        <v>49</v>
      </c>
      <c r="C599" s="1" t="s">
        <v>50</v>
      </c>
      <c r="D599" t="s">
        <v>65</v>
      </c>
      <c r="E599" s="1">
        <v>180</v>
      </c>
      <c r="F599" s="1">
        <v>450</v>
      </c>
      <c r="G599" s="1">
        <v>819</v>
      </c>
      <c r="H599" s="1">
        <f>Int_breweries[[#This Row],[PLANT_COST]]*Int_breweries[[#This Row],[QUANTITY]]</f>
        <v>147420</v>
      </c>
      <c r="I599" s="1">
        <v>368550</v>
      </c>
      <c r="J599" s="1">
        <v>221130</v>
      </c>
      <c r="K599" s="1" t="s">
        <v>24</v>
      </c>
      <c r="L599" t="s">
        <v>58</v>
      </c>
      <c r="M599" s="1" t="s">
        <v>44</v>
      </c>
      <c r="N599" s="1">
        <v>2018</v>
      </c>
      <c r="O599" t="str" cm="1">
        <f t="array" ref="O599">_xlfn.IFS(OR($K599="Ghana", $K599="Nigeria"), "Anglophone", OR($K599="Togo", $K599="Benin", $K599="Senegal"), "Francophone")</f>
        <v>Francophone</v>
      </c>
      <c r="P599" s="1" t="str">
        <f>LEFT(Int_breweries[[#This Row],[MONTHS]], 3)</f>
        <v>Oct</v>
      </c>
    </row>
    <row r="600" spans="1:16" ht="12.5" x14ac:dyDescent="0.25">
      <c r="A600" s="1">
        <v>10699</v>
      </c>
      <c r="B600" s="1" t="s">
        <v>26</v>
      </c>
      <c r="C600" s="1" t="s">
        <v>27</v>
      </c>
      <c r="D600" t="s">
        <v>66</v>
      </c>
      <c r="E600" s="1">
        <v>170</v>
      </c>
      <c r="F600" s="1">
        <v>250</v>
      </c>
      <c r="G600" s="1">
        <v>899</v>
      </c>
      <c r="H600" s="1">
        <f>Int_breweries[[#This Row],[PLANT_COST]]*Int_breweries[[#This Row],[QUANTITY]]</f>
        <v>152830</v>
      </c>
      <c r="I600" s="1">
        <v>224750</v>
      </c>
      <c r="J600" s="1">
        <v>71920</v>
      </c>
      <c r="K600" s="1" t="s">
        <v>28</v>
      </c>
      <c r="L600" t="s">
        <v>59</v>
      </c>
      <c r="M600" s="1" t="s">
        <v>47</v>
      </c>
      <c r="N600" s="1">
        <v>2019</v>
      </c>
      <c r="O600" t="str" cm="1">
        <f t="array" ref="O600">_xlfn.IFS(OR($K600="Ghana", $K600="Nigeria"), "Anglophone", OR($K600="Togo", $K600="Benin", $K600="Senegal"), "Francophone")</f>
        <v>Francophone</v>
      </c>
      <c r="P600" s="1" t="str">
        <f>LEFT(Int_breweries[[#This Row],[MONTHS]], 3)</f>
        <v>Nov</v>
      </c>
    </row>
    <row r="601" spans="1:16" ht="12.5" x14ac:dyDescent="0.25">
      <c r="A601" s="1">
        <v>10700</v>
      </c>
      <c r="B601" s="1" t="s">
        <v>22</v>
      </c>
      <c r="C601" s="1" t="s">
        <v>23</v>
      </c>
      <c r="D601" t="s">
        <v>67</v>
      </c>
      <c r="E601" s="1">
        <v>150</v>
      </c>
      <c r="F601" s="1">
        <v>200</v>
      </c>
      <c r="G601" s="1">
        <v>897</v>
      </c>
      <c r="H601" s="1">
        <f>Int_breweries[[#This Row],[PLANT_COST]]*Int_breweries[[#This Row],[QUANTITY]]</f>
        <v>134550</v>
      </c>
      <c r="I601" s="1">
        <v>179400</v>
      </c>
      <c r="J601" s="1">
        <v>44850</v>
      </c>
      <c r="K601" s="1" t="s">
        <v>32</v>
      </c>
      <c r="L601" t="s">
        <v>60</v>
      </c>
      <c r="M601" s="1" t="s">
        <v>48</v>
      </c>
      <c r="N601" s="1">
        <v>2019</v>
      </c>
      <c r="O601" t="str" cm="1">
        <f t="array" ref="O601">_xlfn.IFS(OR($K601="Ghana", $K601="Nigeria"), "Anglophone", OR($K601="Togo", $K601="Benin", $K601="Senegal"), "Francophone")</f>
        <v>Francophone</v>
      </c>
      <c r="P601" s="1" t="str">
        <f>LEFT(Int_breweries[[#This Row],[MONTHS]], 3)</f>
        <v>Dec</v>
      </c>
    </row>
    <row r="602" spans="1:16" ht="12.5" x14ac:dyDescent="0.25">
      <c r="A602" s="1">
        <v>10701</v>
      </c>
      <c r="B602" s="1" t="s">
        <v>12</v>
      </c>
      <c r="C602" s="1" t="s">
        <v>13</v>
      </c>
      <c r="D602" t="s">
        <v>68</v>
      </c>
      <c r="E602" s="1">
        <v>80</v>
      </c>
      <c r="F602" s="1">
        <v>150</v>
      </c>
      <c r="G602" s="1">
        <v>753</v>
      </c>
      <c r="H602" s="1">
        <f>Int_breweries[[#This Row],[PLANT_COST]]*Int_breweries[[#This Row],[QUANTITY]]</f>
        <v>60240</v>
      </c>
      <c r="I602" s="1">
        <v>112950</v>
      </c>
      <c r="J602" s="1">
        <v>52710</v>
      </c>
      <c r="K602" s="1" t="s">
        <v>14</v>
      </c>
      <c r="L602" t="s">
        <v>61</v>
      </c>
      <c r="M602" s="1" t="s">
        <v>16</v>
      </c>
      <c r="N602" s="1">
        <v>2017</v>
      </c>
      <c r="O602" t="str" cm="1">
        <f t="array" ref="O602">_xlfn.IFS(OR($K602="Ghana", $K602="Nigeria"), "Anglophone", OR($K602="Togo", $K602="Benin", $K602="Senegal"), "Francophone")</f>
        <v>Anglophone</v>
      </c>
      <c r="P602" s="1" t="str">
        <f>LEFT(Int_breweries[[#This Row],[MONTHS]], 3)</f>
        <v>Jan</v>
      </c>
    </row>
    <row r="603" spans="1:16" ht="12.5" x14ac:dyDescent="0.25">
      <c r="A603" s="1">
        <v>10702</v>
      </c>
      <c r="B603" s="1" t="s">
        <v>30</v>
      </c>
      <c r="C603" s="1" t="s">
        <v>31</v>
      </c>
      <c r="D603" t="s">
        <v>69</v>
      </c>
      <c r="E603" s="1">
        <v>90</v>
      </c>
      <c r="F603" s="1">
        <v>150</v>
      </c>
      <c r="G603" s="1">
        <v>781</v>
      </c>
      <c r="H603" s="1">
        <f>Int_breweries[[#This Row],[PLANT_COST]]*Int_breweries[[#This Row],[QUANTITY]]</f>
        <v>70290</v>
      </c>
      <c r="I603" s="1">
        <v>117150</v>
      </c>
      <c r="J603" s="1">
        <v>46860</v>
      </c>
      <c r="K603" s="1" t="s">
        <v>19</v>
      </c>
      <c r="L603" t="s">
        <v>62</v>
      </c>
      <c r="M603" s="1" t="s">
        <v>21</v>
      </c>
      <c r="N603" s="1">
        <v>2018</v>
      </c>
      <c r="O603" t="str" cm="1">
        <f t="array" ref="O603">_xlfn.IFS(OR($K603="Ghana", $K603="Nigeria"), "Anglophone", OR($K603="Togo", $K603="Benin", $K603="Senegal"), "Francophone")</f>
        <v>Anglophone</v>
      </c>
      <c r="P603" s="1" t="str">
        <f>LEFT(Int_breweries[[#This Row],[MONTHS]], 3)</f>
        <v>Feb</v>
      </c>
    </row>
    <row r="604" spans="1:16" ht="12.5" x14ac:dyDescent="0.25">
      <c r="A604" s="1">
        <v>10703</v>
      </c>
      <c r="B604" s="1" t="s">
        <v>42</v>
      </c>
      <c r="C604" s="1" t="s">
        <v>43</v>
      </c>
      <c r="D604" t="s">
        <v>63</v>
      </c>
      <c r="E604" s="1">
        <v>150</v>
      </c>
      <c r="F604" s="1">
        <v>200</v>
      </c>
      <c r="G604" s="1">
        <v>911</v>
      </c>
      <c r="H604" s="1">
        <f>Int_breweries[[#This Row],[PLANT_COST]]*Int_breweries[[#This Row],[QUANTITY]]</f>
        <v>136650</v>
      </c>
      <c r="I604" s="1">
        <v>182200</v>
      </c>
      <c r="J604" s="1">
        <v>45550</v>
      </c>
      <c r="K604" s="1" t="s">
        <v>24</v>
      </c>
      <c r="L604" t="s">
        <v>15</v>
      </c>
      <c r="M604" s="1" t="s">
        <v>25</v>
      </c>
      <c r="N604" s="1">
        <v>2018</v>
      </c>
      <c r="O604" t="str" cm="1">
        <f t="array" ref="O604">_xlfn.IFS(OR($K604="Ghana", $K604="Nigeria"), "Anglophone", OR($K604="Togo", $K604="Benin", $K604="Senegal"), "Francophone")</f>
        <v>Francophone</v>
      </c>
      <c r="P604" s="1" t="str">
        <f>LEFT(Int_breweries[[#This Row],[MONTHS]], 3)</f>
        <v>Mar</v>
      </c>
    </row>
    <row r="605" spans="1:16" ht="12.5" x14ac:dyDescent="0.25">
      <c r="A605" s="1">
        <v>10704</v>
      </c>
      <c r="B605" s="1" t="s">
        <v>17</v>
      </c>
      <c r="C605" s="1" t="s">
        <v>18</v>
      </c>
      <c r="D605" t="s">
        <v>64</v>
      </c>
      <c r="E605" s="1">
        <v>250</v>
      </c>
      <c r="F605" s="1">
        <v>500</v>
      </c>
      <c r="G605" s="1">
        <v>730</v>
      </c>
      <c r="H605" s="1">
        <f>Int_breweries[[#This Row],[PLANT_COST]]*Int_breweries[[#This Row],[QUANTITY]]</f>
        <v>182500</v>
      </c>
      <c r="I605" s="1">
        <v>365000</v>
      </c>
      <c r="J605" s="1">
        <v>182500</v>
      </c>
      <c r="K605" s="1" t="s">
        <v>28</v>
      </c>
      <c r="L605" t="s">
        <v>58</v>
      </c>
      <c r="M605" s="1" t="s">
        <v>29</v>
      </c>
      <c r="N605" s="1">
        <v>2018</v>
      </c>
      <c r="O605" t="str" cm="1">
        <f t="array" ref="O605">_xlfn.IFS(OR($K605="Ghana", $K605="Nigeria"), "Anglophone", OR($K605="Togo", $K605="Benin", $K605="Senegal"), "Francophone")</f>
        <v>Francophone</v>
      </c>
      <c r="P605" s="1" t="str">
        <f>LEFT(Int_breweries[[#This Row],[MONTHS]], 3)</f>
        <v>Apr</v>
      </c>
    </row>
    <row r="606" spans="1:16" ht="12.5" x14ac:dyDescent="0.25">
      <c r="A606" s="1">
        <v>10705</v>
      </c>
      <c r="B606" s="1" t="s">
        <v>17</v>
      </c>
      <c r="C606" s="1" t="s">
        <v>18</v>
      </c>
      <c r="D606" t="s">
        <v>65</v>
      </c>
      <c r="E606" s="1">
        <v>180</v>
      </c>
      <c r="F606" s="1">
        <v>450</v>
      </c>
      <c r="G606" s="1">
        <v>912</v>
      </c>
      <c r="H606" s="1">
        <f>Int_breweries[[#This Row],[PLANT_COST]]*Int_breweries[[#This Row],[QUANTITY]]</f>
        <v>164160</v>
      </c>
      <c r="I606" s="1">
        <v>410400</v>
      </c>
      <c r="J606" s="1">
        <v>246240</v>
      </c>
      <c r="K606" s="1" t="s">
        <v>32</v>
      </c>
      <c r="L606" t="s">
        <v>59</v>
      </c>
      <c r="M606" s="1" t="s">
        <v>33</v>
      </c>
      <c r="N606" s="1">
        <v>2017</v>
      </c>
      <c r="O606" t="str" cm="1">
        <f t="array" ref="O606">_xlfn.IFS(OR($K606="Ghana", $K606="Nigeria"), "Anglophone", OR($K606="Togo", $K606="Benin", $K606="Senegal"), "Francophone")</f>
        <v>Francophone</v>
      </c>
      <c r="P606" s="1" t="str">
        <f>LEFT(Int_breweries[[#This Row],[MONTHS]], 3)</f>
        <v>May</v>
      </c>
    </row>
    <row r="607" spans="1:16" ht="12.5" x14ac:dyDescent="0.25">
      <c r="A607" s="1">
        <v>10706</v>
      </c>
      <c r="B607" s="1" t="s">
        <v>51</v>
      </c>
      <c r="C607" s="1" t="s">
        <v>52</v>
      </c>
      <c r="D607" t="s">
        <v>66</v>
      </c>
      <c r="E607" s="1">
        <v>170</v>
      </c>
      <c r="F607" s="1">
        <v>250</v>
      </c>
      <c r="G607" s="1">
        <v>755</v>
      </c>
      <c r="H607" s="1">
        <f>Int_breweries[[#This Row],[PLANT_COST]]*Int_breweries[[#This Row],[QUANTITY]]</f>
        <v>128350</v>
      </c>
      <c r="I607" s="1">
        <v>188750</v>
      </c>
      <c r="J607" s="1">
        <v>60400</v>
      </c>
      <c r="K607" s="1" t="s">
        <v>14</v>
      </c>
      <c r="L607" t="s">
        <v>60</v>
      </c>
      <c r="M607" s="1" t="s">
        <v>34</v>
      </c>
      <c r="N607" s="1">
        <v>2019</v>
      </c>
      <c r="O607" t="str" cm="1">
        <f t="array" ref="O607">_xlfn.IFS(OR($K607="Ghana", $K607="Nigeria"), "Anglophone", OR($K607="Togo", $K607="Benin", $K607="Senegal"), "Francophone")</f>
        <v>Anglophone</v>
      </c>
      <c r="P607" s="1" t="str">
        <f>LEFT(Int_breweries[[#This Row],[MONTHS]], 3)</f>
        <v>Jun</v>
      </c>
    </row>
    <row r="608" spans="1:16" ht="12.5" x14ac:dyDescent="0.25">
      <c r="A608" s="1">
        <v>10707</v>
      </c>
      <c r="B608" s="1" t="s">
        <v>26</v>
      </c>
      <c r="C608" s="1" t="s">
        <v>27</v>
      </c>
      <c r="D608" t="s">
        <v>67</v>
      </c>
      <c r="E608" s="1">
        <v>150</v>
      </c>
      <c r="F608" s="1">
        <v>200</v>
      </c>
      <c r="G608" s="1">
        <v>981</v>
      </c>
      <c r="H608" s="1">
        <f>Int_breweries[[#This Row],[PLANT_COST]]*Int_breweries[[#This Row],[QUANTITY]]</f>
        <v>147150</v>
      </c>
      <c r="I608" s="1">
        <v>196200</v>
      </c>
      <c r="J608" s="1">
        <v>49050</v>
      </c>
      <c r="K608" s="1" t="s">
        <v>19</v>
      </c>
      <c r="L608" t="s">
        <v>61</v>
      </c>
      <c r="M608" s="1" t="s">
        <v>37</v>
      </c>
      <c r="N608" s="1">
        <v>2018</v>
      </c>
      <c r="O608" t="str" cm="1">
        <f t="array" ref="O608">_xlfn.IFS(OR($K608="Ghana", $K608="Nigeria"), "Anglophone", OR($K608="Togo", $K608="Benin", $K608="Senegal"), "Francophone")</f>
        <v>Anglophone</v>
      </c>
      <c r="P608" s="1" t="str">
        <f>LEFT(Int_breweries[[#This Row],[MONTHS]], 3)</f>
        <v>Jul</v>
      </c>
    </row>
    <row r="609" spans="1:16" ht="12.5" x14ac:dyDescent="0.25">
      <c r="A609" s="1">
        <v>10708</v>
      </c>
      <c r="B609" s="1" t="s">
        <v>39</v>
      </c>
      <c r="C609" s="1" t="s">
        <v>40</v>
      </c>
      <c r="D609" t="s">
        <v>68</v>
      </c>
      <c r="E609" s="1">
        <v>80</v>
      </c>
      <c r="F609" s="1">
        <v>150</v>
      </c>
      <c r="G609" s="1">
        <v>914</v>
      </c>
      <c r="H609" s="1">
        <f>Int_breweries[[#This Row],[PLANT_COST]]*Int_breweries[[#This Row],[QUANTITY]]</f>
        <v>73120</v>
      </c>
      <c r="I609" s="1">
        <v>137100</v>
      </c>
      <c r="J609" s="1">
        <v>63980</v>
      </c>
      <c r="K609" s="1" t="s">
        <v>24</v>
      </c>
      <c r="L609" t="s">
        <v>62</v>
      </c>
      <c r="M609" s="1" t="s">
        <v>38</v>
      </c>
      <c r="N609" s="1">
        <v>2018</v>
      </c>
      <c r="O609" t="str" cm="1">
        <f t="array" ref="O609">_xlfn.IFS(OR($K609="Ghana", $K609="Nigeria"), "Anglophone", OR($K609="Togo", $K609="Benin", $K609="Senegal"), "Francophone")</f>
        <v>Francophone</v>
      </c>
      <c r="P609" s="1" t="str">
        <f>LEFT(Int_breweries[[#This Row],[MONTHS]], 3)</f>
        <v>Aug</v>
      </c>
    </row>
    <row r="610" spans="1:16" ht="12.5" x14ac:dyDescent="0.25">
      <c r="A610" s="1">
        <v>10709</v>
      </c>
      <c r="B610" s="1" t="s">
        <v>51</v>
      </c>
      <c r="C610" s="1" t="s">
        <v>52</v>
      </c>
      <c r="D610" t="s">
        <v>69</v>
      </c>
      <c r="E610" s="1">
        <v>90</v>
      </c>
      <c r="F610" s="1">
        <v>150</v>
      </c>
      <c r="G610" s="1">
        <v>705</v>
      </c>
      <c r="H610" s="1">
        <f>Int_breweries[[#This Row],[PLANT_COST]]*Int_breweries[[#This Row],[QUANTITY]]</f>
        <v>63450</v>
      </c>
      <c r="I610" s="1">
        <v>105750</v>
      </c>
      <c r="J610" s="1">
        <v>42300</v>
      </c>
      <c r="K610" s="1" t="s">
        <v>28</v>
      </c>
      <c r="L610" t="s">
        <v>15</v>
      </c>
      <c r="M610" s="1" t="s">
        <v>41</v>
      </c>
      <c r="N610" s="1">
        <v>2019</v>
      </c>
      <c r="O610" t="str" cm="1">
        <f t="array" ref="O610">_xlfn.IFS(OR($K610="Ghana", $K610="Nigeria"), "Anglophone", OR($K610="Togo", $K610="Benin", $K610="Senegal"), "Francophone")</f>
        <v>Francophone</v>
      </c>
      <c r="P610" s="1" t="str">
        <f>LEFT(Int_breweries[[#This Row],[MONTHS]], 3)</f>
        <v>Sep</v>
      </c>
    </row>
    <row r="611" spans="1:16" ht="12.5" x14ac:dyDescent="0.25">
      <c r="A611" s="1">
        <v>10710</v>
      </c>
      <c r="B611" s="1" t="s">
        <v>22</v>
      </c>
      <c r="C611" s="1" t="s">
        <v>23</v>
      </c>
      <c r="D611" t="s">
        <v>63</v>
      </c>
      <c r="E611" s="1">
        <v>150</v>
      </c>
      <c r="F611" s="1">
        <v>200</v>
      </c>
      <c r="G611" s="1">
        <v>774</v>
      </c>
      <c r="H611" s="1">
        <f>Int_breweries[[#This Row],[PLANT_COST]]*Int_breweries[[#This Row],[QUANTITY]]</f>
        <v>116100</v>
      </c>
      <c r="I611" s="1">
        <v>154800</v>
      </c>
      <c r="J611" s="1">
        <v>38700</v>
      </c>
      <c r="K611" s="1" t="s">
        <v>32</v>
      </c>
      <c r="L611" t="s">
        <v>58</v>
      </c>
      <c r="M611" s="1" t="s">
        <v>44</v>
      </c>
      <c r="N611" s="1">
        <v>2018</v>
      </c>
      <c r="O611" t="str" cm="1">
        <f t="array" ref="O611">_xlfn.IFS(OR($K611="Ghana", $K611="Nigeria"), "Anglophone", OR($K611="Togo", $K611="Benin", $K611="Senegal"), "Francophone")</f>
        <v>Francophone</v>
      </c>
      <c r="P611" s="1" t="str">
        <f>LEFT(Int_breweries[[#This Row],[MONTHS]], 3)</f>
        <v>Oct</v>
      </c>
    </row>
    <row r="612" spans="1:16" ht="12.5" x14ac:dyDescent="0.25">
      <c r="A612" s="1">
        <v>10711</v>
      </c>
      <c r="B612" s="1" t="s">
        <v>17</v>
      </c>
      <c r="C612" s="1" t="s">
        <v>18</v>
      </c>
      <c r="D612" t="s">
        <v>64</v>
      </c>
      <c r="E612" s="1">
        <v>250</v>
      </c>
      <c r="F612" s="1">
        <v>500</v>
      </c>
      <c r="G612" s="1">
        <v>748</v>
      </c>
      <c r="H612" s="1">
        <f>Int_breweries[[#This Row],[PLANT_COST]]*Int_breweries[[#This Row],[QUANTITY]]</f>
        <v>187000</v>
      </c>
      <c r="I612" s="1">
        <v>374000</v>
      </c>
      <c r="J612" s="1">
        <v>187000</v>
      </c>
      <c r="K612" s="1" t="s">
        <v>14</v>
      </c>
      <c r="L612" t="s">
        <v>59</v>
      </c>
      <c r="M612" s="1" t="s">
        <v>47</v>
      </c>
      <c r="N612" s="1">
        <v>2017</v>
      </c>
      <c r="O612" t="str" cm="1">
        <f t="array" ref="O612">_xlfn.IFS(OR($K612="Ghana", $K612="Nigeria"), "Anglophone", OR($K612="Togo", $K612="Benin", $K612="Senegal"), "Francophone")</f>
        <v>Anglophone</v>
      </c>
      <c r="P612" s="1" t="str">
        <f>LEFT(Int_breweries[[#This Row],[MONTHS]], 3)</f>
        <v>Nov</v>
      </c>
    </row>
    <row r="613" spans="1:16" ht="12.5" x14ac:dyDescent="0.25">
      <c r="A613" s="1">
        <v>10712</v>
      </c>
      <c r="B613" s="1" t="s">
        <v>22</v>
      </c>
      <c r="C613" s="1" t="s">
        <v>23</v>
      </c>
      <c r="D613" t="s">
        <v>65</v>
      </c>
      <c r="E613" s="1">
        <v>180</v>
      </c>
      <c r="F613" s="1">
        <v>450</v>
      </c>
      <c r="G613" s="1">
        <v>807</v>
      </c>
      <c r="H613" s="1">
        <f>Int_breweries[[#This Row],[PLANT_COST]]*Int_breweries[[#This Row],[QUANTITY]]</f>
        <v>145260</v>
      </c>
      <c r="I613" s="1">
        <v>363150</v>
      </c>
      <c r="J613" s="1">
        <v>217890</v>
      </c>
      <c r="K613" s="1" t="s">
        <v>19</v>
      </c>
      <c r="L613" t="s">
        <v>60</v>
      </c>
      <c r="M613" s="1" t="s">
        <v>48</v>
      </c>
      <c r="N613" s="1">
        <v>2018</v>
      </c>
      <c r="O613" t="str" cm="1">
        <f t="array" ref="O613">_xlfn.IFS(OR($K613="Ghana", $K613="Nigeria"), "Anglophone", OR($K613="Togo", $K613="Benin", $K613="Senegal"), "Francophone")</f>
        <v>Anglophone</v>
      </c>
      <c r="P613" s="1" t="str">
        <f>LEFT(Int_breweries[[#This Row],[MONTHS]], 3)</f>
        <v>Dec</v>
      </c>
    </row>
    <row r="614" spans="1:16" ht="12.5" x14ac:dyDescent="0.25">
      <c r="A614" s="1">
        <v>10713</v>
      </c>
      <c r="B614" s="1" t="s">
        <v>35</v>
      </c>
      <c r="C614" s="1" t="s">
        <v>36</v>
      </c>
      <c r="D614" t="s">
        <v>66</v>
      </c>
      <c r="E614" s="1">
        <v>170</v>
      </c>
      <c r="F614" s="1">
        <v>250</v>
      </c>
      <c r="G614" s="1">
        <v>877</v>
      </c>
      <c r="H614" s="1">
        <f>Int_breweries[[#This Row],[PLANT_COST]]*Int_breweries[[#This Row],[QUANTITY]]</f>
        <v>149090</v>
      </c>
      <c r="I614" s="1">
        <v>219250</v>
      </c>
      <c r="J614" s="1">
        <v>70160</v>
      </c>
      <c r="K614" s="1" t="s">
        <v>24</v>
      </c>
      <c r="L614" t="s">
        <v>61</v>
      </c>
      <c r="M614" s="1" t="s">
        <v>16</v>
      </c>
      <c r="N614" s="1">
        <v>2018</v>
      </c>
      <c r="O614" t="str" cm="1">
        <f t="array" ref="O614">_xlfn.IFS(OR($K614="Ghana", $K614="Nigeria"), "Anglophone", OR($K614="Togo", $K614="Benin", $K614="Senegal"), "Francophone")</f>
        <v>Francophone</v>
      </c>
      <c r="P614" s="1" t="str">
        <f>LEFT(Int_breweries[[#This Row],[MONTHS]], 3)</f>
        <v>Jan</v>
      </c>
    </row>
    <row r="615" spans="1:16" ht="12.5" x14ac:dyDescent="0.25">
      <c r="A615" s="1">
        <v>10714</v>
      </c>
      <c r="B615" s="1" t="s">
        <v>30</v>
      </c>
      <c r="C615" s="1" t="s">
        <v>31</v>
      </c>
      <c r="D615" t="s">
        <v>67</v>
      </c>
      <c r="E615" s="1">
        <v>150</v>
      </c>
      <c r="F615" s="1">
        <v>200</v>
      </c>
      <c r="G615" s="1">
        <v>965</v>
      </c>
      <c r="H615" s="1">
        <f>Int_breweries[[#This Row],[PLANT_COST]]*Int_breweries[[#This Row],[QUANTITY]]</f>
        <v>144750</v>
      </c>
      <c r="I615" s="1">
        <v>193000</v>
      </c>
      <c r="J615" s="1">
        <v>48250</v>
      </c>
      <c r="K615" s="1" t="s">
        <v>28</v>
      </c>
      <c r="L615" t="s">
        <v>62</v>
      </c>
      <c r="M615" s="1" t="s">
        <v>21</v>
      </c>
      <c r="N615" s="1">
        <v>2017</v>
      </c>
      <c r="O615" t="str" cm="1">
        <f t="array" ref="O615">_xlfn.IFS(OR($K615="Ghana", $K615="Nigeria"), "Anglophone", OR($K615="Togo", $K615="Benin", $K615="Senegal"), "Francophone")</f>
        <v>Francophone</v>
      </c>
      <c r="P615" s="1" t="str">
        <f>LEFT(Int_breweries[[#This Row],[MONTHS]], 3)</f>
        <v>Feb</v>
      </c>
    </row>
    <row r="616" spans="1:16" ht="12.5" x14ac:dyDescent="0.25">
      <c r="A616" s="1">
        <v>10715</v>
      </c>
      <c r="B616" s="1" t="s">
        <v>12</v>
      </c>
      <c r="C616" s="1" t="s">
        <v>13</v>
      </c>
      <c r="D616" t="s">
        <v>68</v>
      </c>
      <c r="E616" s="1">
        <v>80</v>
      </c>
      <c r="F616" s="1">
        <v>150</v>
      </c>
      <c r="G616" s="1">
        <v>728</v>
      </c>
      <c r="H616" s="1">
        <f>Int_breweries[[#This Row],[PLANT_COST]]*Int_breweries[[#This Row],[QUANTITY]]</f>
        <v>58240</v>
      </c>
      <c r="I616" s="1">
        <v>109200</v>
      </c>
      <c r="J616" s="1">
        <v>50960</v>
      </c>
      <c r="K616" s="1" t="s">
        <v>32</v>
      </c>
      <c r="L616" t="s">
        <v>15</v>
      </c>
      <c r="M616" s="1" t="s">
        <v>25</v>
      </c>
      <c r="N616" s="1">
        <v>2017</v>
      </c>
      <c r="O616" t="str" cm="1">
        <f t="array" ref="O616">_xlfn.IFS(OR($K616="Ghana", $K616="Nigeria"), "Anglophone", OR($K616="Togo", $K616="Benin", $K616="Senegal"), "Francophone")</f>
        <v>Francophone</v>
      </c>
      <c r="P616" s="1" t="str">
        <f>LEFT(Int_breweries[[#This Row],[MONTHS]], 3)</f>
        <v>Mar</v>
      </c>
    </row>
    <row r="617" spans="1:16" ht="12.5" x14ac:dyDescent="0.25">
      <c r="A617" s="1">
        <v>10716</v>
      </c>
      <c r="B617" s="1" t="s">
        <v>12</v>
      </c>
      <c r="C617" s="1" t="s">
        <v>13</v>
      </c>
      <c r="D617" t="s">
        <v>69</v>
      </c>
      <c r="E617" s="1">
        <v>90</v>
      </c>
      <c r="F617" s="1">
        <v>150</v>
      </c>
      <c r="G617" s="1">
        <v>792</v>
      </c>
      <c r="H617" s="1">
        <f>Int_breweries[[#This Row],[PLANT_COST]]*Int_breweries[[#This Row],[QUANTITY]]</f>
        <v>71280</v>
      </c>
      <c r="I617" s="1">
        <v>118800</v>
      </c>
      <c r="J617" s="1">
        <v>47520</v>
      </c>
      <c r="K617" s="1" t="s">
        <v>14</v>
      </c>
      <c r="L617" t="s">
        <v>58</v>
      </c>
      <c r="M617" s="1" t="s">
        <v>29</v>
      </c>
      <c r="N617" s="1">
        <v>2017</v>
      </c>
      <c r="O617" t="str" cm="1">
        <f t="array" ref="O617">_xlfn.IFS(OR($K617="Ghana", $K617="Nigeria"), "Anglophone", OR($K617="Togo", $K617="Benin", $K617="Senegal"), "Francophone")</f>
        <v>Anglophone</v>
      </c>
      <c r="P617" s="1" t="str">
        <f>LEFT(Int_breweries[[#This Row],[MONTHS]], 3)</f>
        <v>Apr</v>
      </c>
    </row>
    <row r="618" spans="1:16" ht="12.5" x14ac:dyDescent="0.25">
      <c r="A618" s="1">
        <v>10717</v>
      </c>
      <c r="B618" s="1" t="s">
        <v>30</v>
      </c>
      <c r="C618" s="1" t="s">
        <v>31</v>
      </c>
      <c r="D618" t="s">
        <v>63</v>
      </c>
      <c r="E618" s="1">
        <v>150</v>
      </c>
      <c r="F618" s="1">
        <v>200</v>
      </c>
      <c r="G618" s="1">
        <v>878</v>
      </c>
      <c r="H618" s="1">
        <f>Int_breweries[[#This Row],[PLANT_COST]]*Int_breweries[[#This Row],[QUANTITY]]</f>
        <v>131700</v>
      </c>
      <c r="I618" s="1">
        <v>175600</v>
      </c>
      <c r="J618" s="1">
        <v>43900</v>
      </c>
      <c r="K618" s="1" t="s">
        <v>19</v>
      </c>
      <c r="L618" t="s">
        <v>59</v>
      </c>
      <c r="M618" s="1" t="s">
        <v>33</v>
      </c>
      <c r="N618" s="1">
        <v>2017</v>
      </c>
      <c r="O618" t="str" cm="1">
        <f t="array" ref="O618">_xlfn.IFS(OR($K618="Ghana", $K618="Nigeria"), "Anglophone", OR($K618="Togo", $K618="Benin", $K618="Senegal"), "Francophone")</f>
        <v>Anglophone</v>
      </c>
      <c r="P618" s="1" t="str">
        <f>LEFT(Int_breweries[[#This Row],[MONTHS]], 3)</f>
        <v>May</v>
      </c>
    </row>
    <row r="619" spans="1:16" ht="12.5" x14ac:dyDescent="0.25">
      <c r="A619" s="1">
        <v>10718</v>
      </c>
      <c r="B619" s="1" t="s">
        <v>26</v>
      </c>
      <c r="C619" s="1" t="s">
        <v>27</v>
      </c>
      <c r="D619" t="s">
        <v>64</v>
      </c>
      <c r="E619" s="1">
        <v>250</v>
      </c>
      <c r="F619" s="1">
        <v>500</v>
      </c>
      <c r="G619" s="1">
        <v>886</v>
      </c>
      <c r="H619" s="1">
        <f>Int_breweries[[#This Row],[PLANT_COST]]*Int_breweries[[#This Row],[QUANTITY]]</f>
        <v>221500</v>
      </c>
      <c r="I619" s="1">
        <v>443000</v>
      </c>
      <c r="J619" s="1">
        <v>221500</v>
      </c>
      <c r="K619" s="1" t="s">
        <v>24</v>
      </c>
      <c r="L619" t="s">
        <v>60</v>
      </c>
      <c r="M619" s="1" t="s">
        <v>34</v>
      </c>
      <c r="N619" s="1">
        <v>2017</v>
      </c>
      <c r="O619" t="str" cm="1">
        <f t="array" ref="O619">_xlfn.IFS(OR($K619="Ghana", $K619="Nigeria"), "Anglophone", OR($K619="Togo", $K619="Benin", $K619="Senegal"), "Francophone")</f>
        <v>Francophone</v>
      </c>
      <c r="P619" s="1" t="str">
        <f>LEFT(Int_breweries[[#This Row],[MONTHS]], 3)</f>
        <v>Jun</v>
      </c>
    </row>
    <row r="620" spans="1:16" ht="12.5" x14ac:dyDescent="0.25">
      <c r="A620" s="1">
        <v>10719</v>
      </c>
      <c r="B620" s="1" t="s">
        <v>39</v>
      </c>
      <c r="C620" s="1" t="s">
        <v>40</v>
      </c>
      <c r="D620" t="s">
        <v>65</v>
      </c>
      <c r="E620" s="1">
        <v>180</v>
      </c>
      <c r="F620" s="1">
        <v>450</v>
      </c>
      <c r="G620" s="1">
        <v>995</v>
      </c>
      <c r="H620" s="1">
        <f>Int_breweries[[#This Row],[PLANT_COST]]*Int_breweries[[#This Row],[QUANTITY]]</f>
        <v>179100</v>
      </c>
      <c r="I620" s="1">
        <v>447750</v>
      </c>
      <c r="J620" s="1">
        <v>268650</v>
      </c>
      <c r="K620" s="1" t="s">
        <v>28</v>
      </c>
      <c r="L620" t="s">
        <v>61</v>
      </c>
      <c r="M620" s="1" t="s">
        <v>37</v>
      </c>
      <c r="N620" s="1">
        <v>2017</v>
      </c>
      <c r="O620" t="str" cm="1">
        <f t="array" ref="O620">_xlfn.IFS(OR($K620="Ghana", $K620="Nigeria"), "Anglophone", OR($K620="Togo", $K620="Benin", $K620="Senegal"), "Francophone")</f>
        <v>Francophone</v>
      </c>
      <c r="P620" s="1" t="str">
        <f>LEFT(Int_breweries[[#This Row],[MONTHS]], 3)</f>
        <v>Jul</v>
      </c>
    </row>
    <row r="621" spans="1:16" ht="12.5" x14ac:dyDescent="0.25">
      <c r="A621" s="1">
        <v>10720</v>
      </c>
      <c r="B621" s="1" t="s">
        <v>51</v>
      </c>
      <c r="C621" s="1" t="s">
        <v>52</v>
      </c>
      <c r="D621" t="s">
        <v>66</v>
      </c>
      <c r="E621" s="1">
        <v>170</v>
      </c>
      <c r="F621" s="1">
        <v>250</v>
      </c>
      <c r="G621" s="1">
        <v>851</v>
      </c>
      <c r="H621" s="1">
        <f>Int_breweries[[#This Row],[PLANT_COST]]*Int_breweries[[#This Row],[QUANTITY]]</f>
        <v>144670</v>
      </c>
      <c r="I621" s="1">
        <v>212750</v>
      </c>
      <c r="J621" s="1">
        <v>68080</v>
      </c>
      <c r="K621" s="1" t="s">
        <v>32</v>
      </c>
      <c r="L621" t="s">
        <v>62</v>
      </c>
      <c r="M621" s="1" t="s">
        <v>38</v>
      </c>
      <c r="N621" s="1">
        <v>2019</v>
      </c>
      <c r="O621" t="str" cm="1">
        <f t="array" ref="O621">_xlfn.IFS(OR($K621="Ghana", $K621="Nigeria"), "Anglophone", OR($K621="Togo", $K621="Benin", $K621="Senegal"), "Francophone")</f>
        <v>Francophone</v>
      </c>
      <c r="P621" s="1" t="str">
        <f>LEFT(Int_breweries[[#This Row],[MONTHS]], 3)</f>
        <v>Aug</v>
      </c>
    </row>
    <row r="622" spans="1:16" ht="12.5" x14ac:dyDescent="0.25">
      <c r="A622" s="1">
        <v>10721</v>
      </c>
      <c r="B622" s="1" t="s">
        <v>22</v>
      </c>
      <c r="C622" s="1" t="s">
        <v>23</v>
      </c>
      <c r="D622" t="s">
        <v>67</v>
      </c>
      <c r="E622" s="1">
        <v>150</v>
      </c>
      <c r="F622" s="1">
        <v>200</v>
      </c>
      <c r="G622" s="1">
        <v>866</v>
      </c>
      <c r="H622" s="1">
        <f>Int_breweries[[#This Row],[PLANT_COST]]*Int_breweries[[#This Row],[QUANTITY]]</f>
        <v>129900</v>
      </c>
      <c r="I622" s="1">
        <v>173200</v>
      </c>
      <c r="J622" s="1">
        <v>43300</v>
      </c>
      <c r="K622" s="1" t="s">
        <v>14</v>
      </c>
      <c r="L622" t="s">
        <v>15</v>
      </c>
      <c r="M622" s="1" t="s">
        <v>41</v>
      </c>
      <c r="N622" s="1">
        <v>2017</v>
      </c>
      <c r="O622" t="str" cm="1">
        <f t="array" ref="O622">_xlfn.IFS(OR($K622="Ghana", $K622="Nigeria"), "Anglophone", OR($K622="Togo", $K622="Benin", $K622="Senegal"), "Francophone")</f>
        <v>Anglophone</v>
      </c>
      <c r="P622" s="1" t="str">
        <f>LEFT(Int_breweries[[#This Row],[MONTHS]], 3)</f>
        <v>Sep</v>
      </c>
    </row>
    <row r="623" spans="1:16" ht="12.5" x14ac:dyDescent="0.25">
      <c r="A623" s="1">
        <v>10722</v>
      </c>
      <c r="B623" s="1" t="s">
        <v>17</v>
      </c>
      <c r="C623" s="1" t="s">
        <v>18</v>
      </c>
      <c r="D623" t="s">
        <v>68</v>
      </c>
      <c r="E623" s="1">
        <v>80</v>
      </c>
      <c r="F623" s="1">
        <v>150</v>
      </c>
      <c r="G623" s="1">
        <v>987</v>
      </c>
      <c r="H623" s="1">
        <f>Int_breweries[[#This Row],[PLANT_COST]]*Int_breweries[[#This Row],[QUANTITY]]</f>
        <v>78960</v>
      </c>
      <c r="I623" s="1">
        <v>148050</v>
      </c>
      <c r="J623" s="1">
        <v>69090</v>
      </c>
      <c r="K623" s="1" t="s">
        <v>19</v>
      </c>
      <c r="L623" t="s">
        <v>58</v>
      </c>
      <c r="M623" s="1" t="s">
        <v>44</v>
      </c>
      <c r="N623" s="1">
        <v>2017</v>
      </c>
      <c r="O623" t="str" cm="1">
        <f t="array" ref="O623">_xlfn.IFS(OR($K623="Ghana", $K623="Nigeria"), "Anglophone", OR($K623="Togo", $K623="Benin", $K623="Senegal"), "Francophone")</f>
        <v>Anglophone</v>
      </c>
      <c r="P623" s="1" t="str">
        <f>LEFT(Int_breweries[[#This Row],[MONTHS]], 3)</f>
        <v>Oct</v>
      </c>
    </row>
    <row r="624" spans="1:16" ht="12.5" x14ac:dyDescent="0.25">
      <c r="A624" s="1">
        <v>10723</v>
      </c>
      <c r="B624" s="1" t="s">
        <v>22</v>
      </c>
      <c r="C624" s="1" t="s">
        <v>23</v>
      </c>
      <c r="D624" t="s">
        <v>69</v>
      </c>
      <c r="E624" s="1">
        <v>90</v>
      </c>
      <c r="F624" s="1">
        <v>150</v>
      </c>
      <c r="G624" s="1">
        <v>776</v>
      </c>
      <c r="H624" s="1">
        <f>Int_breweries[[#This Row],[PLANT_COST]]*Int_breweries[[#This Row],[QUANTITY]]</f>
        <v>69840</v>
      </c>
      <c r="I624" s="1">
        <v>116400</v>
      </c>
      <c r="J624" s="1">
        <v>46560</v>
      </c>
      <c r="K624" s="1" t="s">
        <v>24</v>
      </c>
      <c r="L624" t="s">
        <v>59</v>
      </c>
      <c r="M624" s="1" t="s">
        <v>47</v>
      </c>
      <c r="N624" s="1">
        <v>2019</v>
      </c>
      <c r="O624" t="str" cm="1">
        <f t="array" ref="O624">_xlfn.IFS(OR($K624="Ghana", $K624="Nigeria"), "Anglophone", OR($K624="Togo", $K624="Benin", $K624="Senegal"), "Francophone")</f>
        <v>Francophone</v>
      </c>
      <c r="P624" s="1" t="str">
        <f>LEFT(Int_breweries[[#This Row],[MONTHS]], 3)</f>
        <v>Nov</v>
      </c>
    </row>
    <row r="625" spans="1:16" ht="12.5" x14ac:dyDescent="0.25">
      <c r="A625" s="1">
        <v>10724</v>
      </c>
      <c r="B625" s="1" t="s">
        <v>35</v>
      </c>
      <c r="C625" s="1" t="s">
        <v>36</v>
      </c>
      <c r="D625" t="s">
        <v>63</v>
      </c>
      <c r="E625" s="1">
        <v>150</v>
      </c>
      <c r="F625" s="1">
        <v>200</v>
      </c>
      <c r="G625" s="1">
        <v>969</v>
      </c>
      <c r="H625" s="1">
        <f>Int_breweries[[#This Row],[PLANT_COST]]*Int_breweries[[#This Row],[QUANTITY]]</f>
        <v>145350</v>
      </c>
      <c r="I625" s="1">
        <v>193800</v>
      </c>
      <c r="J625" s="1">
        <v>48450</v>
      </c>
      <c r="K625" s="1" t="s">
        <v>28</v>
      </c>
      <c r="L625" t="s">
        <v>60</v>
      </c>
      <c r="M625" s="1" t="s">
        <v>48</v>
      </c>
      <c r="N625" s="1">
        <v>2017</v>
      </c>
      <c r="O625" t="str" cm="1">
        <f t="array" ref="O625">_xlfn.IFS(OR($K625="Ghana", $K625="Nigeria"), "Anglophone", OR($K625="Togo", $K625="Benin", $K625="Senegal"), "Francophone")</f>
        <v>Francophone</v>
      </c>
      <c r="P625" s="1" t="str">
        <f>LEFT(Int_breweries[[#This Row],[MONTHS]], 3)</f>
        <v>Dec</v>
      </c>
    </row>
    <row r="626" spans="1:16" ht="12.5" x14ac:dyDescent="0.25">
      <c r="A626" s="1">
        <v>10725</v>
      </c>
      <c r="B626" s="1" t="s">
        <v>30</v>
      </c>
      <c r="C626" s="1" t="s">
        <v>31</v>
      </c>
      <c r="D626" t="s">
        <v>64</v>
      </c>
      <c r="E626" s="1">
        <v>250</v>
      </c>
      <c r="F626" s="1">
        <v>500</v>
      </c>
      <c r="G626" s="1">
        <v>718</v>
      </c>
      <c r="H626" s="1">
        <f>Int_breweries[[#This Row],[PLANT_COST]]*Int_breweries[[#This Row],[QUANTITY]]</f>
        <v>179500</v>
      </c>
      <c r="I626" s="1">
        <v>359000</v>
      </c>
      <c r="J626" s="1">
        <v>179500</v>
      </c>
      <c r="K626" s="1" t="s">
        <v>32</v>
      </c>
      <c r="L626" t="s">
        <v>61</v>
      </c>
      <c r="M626" s="1" t="s">
        <v>16</v>
      </c>
      <c r="N626" s="1">
        <v>2017</v>
      </c>
      <c r="O626" t="str" cm="1">
        <f t="array" ref="O626">_xlfn.IFS(OR($K626="Ghana", $K626="Nigeria"), "Anglophone", OR($K626="Togo", $K626="Benin", $K626="Senegal"), "Francophone")</f>
        <v>Francophone</v>
      </c>
      <c r="P626" s="1" t="str">
        <f>LEFT(Int_breweries[[#This Row],[MONTHS]], 3)</f>
        <v>Jan</v>
      </c>
    </row>
    <row r="627" spans="1:16" ht="12.5" x14ac:dyDescent="0.25">
      <c r="A627" s="1">
        <v>10726</v>
      </c>
      <c r="B627" s="1" t="s">
        <v>12</v>
      </c>
      <c r="C627" s="1" t="s">
        <v>13</v>
      </c>
      <c r="D627" t="s">
        <v>65</v>
      </c>
      <c r="E627" s="1">
        <v>180</v>
      </c>
      <c r="F627" s="1">
        <v>450</v>
      </c>
      <c r="G627" s="1">
        <v>787</v>
      </c>
      <c r="H627" s="1">
        <f>Int_breweries[[#This Row],[PLANT_COST]]*Int_breweries[[#This Row],[QUANTITY]]</f>
        <v>141660</v>
      </c>
      <c r="I627" s="1">
        <v>354150</v>
      </c>
      <c r="J627" s="1">
        <v>212490</v>
      </c>
      <c r="K627" s="1" t="s">
        <v>14</v>
      </c>
      <c r="L627" t="s">
        <v>62</v>
      </c>
      <c r="M627" s="1" t="s">
        <v>21</v>
      </c>
      <c r="N627" s="1">
        <v>2018</v>
      </c>
      <c r="O627" t="str" cm="1">
        <f t="array" ref="O627">_xlfn.IFS(OR($K627="Ghana", $K627="Nigeria"), "Anglophone", OR($K627="Togo", $K627="Benin", $K627="Senegal"), "Francophone")</f>
        <v>Anglophone</v>
      </c>
      <c r="P627" s="1" t="str">
        <f>LEFT(Int_breweries[[#This Row],[MONTHS]], 3)</f>
        <v>Feb</v>
      </c>
    </row>
    <row r="628" spans="1:16" ht="12.5" x14ac:dyDescent="0.25">
      <c r="A628" s="1">
        <v>10727</v>
      </c>
      <c r="B628" s="1" t="s">
        <v>12</v>
      </c>
      <c r="C628" s="1" t="s">
        <v>13</v>
      </c>
      <c r="D628" t="s">
        <v>66</v>
      </c>
      <c r="E628" s="1">
        <v>170</v>
      </c>
      <c r="F628" s="1">
        <v>250</v>
      </c>
      <c r="G628" s="1">
        <v>901</v>
      </c>
      <c r="H628" s="1">
        <f>Int_breweries[[#This Row],[PLANT_COST]]*Int_breweries[[#This Row],[QUANTITY]]</f>
        <v>153170</v>
      </c>
      <c r="I628" s="1">
        <v>225250</v>
      </c>
      <c r="J628" s="1">
        <v>72080</v>
      </c>
      <c r="K628" s="1" t="s">
        <v>19</v>
      </c>
      <c r="L628" t="s">
        <v>15</v>
      </c>
      <c r="M628" s="1" t="s">
        <v>25</v>
      </c>
      <c r="N628" s="1">
        <v>2018</v>
      </c>
      <c r="O628" t="str" cm="1">
        <f t="array" ref="O628">_xlfn.IFS(OR($K628="Ghana", $K628="Nigeria"), "Anglophone", OR($K628="Togo", $K628="Benin", $K628="Senegal"), "Francophone")</f>
        <v>Anglophone</v>
      </c>
      <c r="P628" s="1" t="str">
        <f>LEFT(Int_breweries[[#This Row],[MONTHS]], 3)</f>
        <v>Mar</v>
      </c>
    </row>
    <row r="629" spans="1:16" ht="12.5" x14ac:dyDescent="0.25">
      <c r="A629" s="1">
        <v>10728</v>
      </c>
      <c r="B629" s="1" t="s">
        <v>30</v>
      </c>
      <c r="C629" s="1" t="s">
        <v>31</v>
      </c>
      <c r="D629" t="s">
        <v>67</v>
      </c>
      <c r="E629" s="1">
        <v>150</v>
      </c>
      <c r="F629" s="1">
        <v>200</v>
      </c>
      <c r="G629" s="1">
        <v>736</v>
      </c>
      <c r="H629" s="1">
        <f>Int_breweries[[#This Row],[PLANT_COST]]*Int_breweries[[#This Row],[QUANTITY]]</f>
        <v>110400</v>
      </c>
      <c r="I629" s="1">
        <v>147200</v>
      </c>
      <c r="J629" s="1">
        <v>36800</v>
      </c>
      <c r="K629" s="1" t="s">
        <v>24</v>
      </c>
      <c r="L629" t="s">
        <v>58</v>
      </c>
      <c r="M629" s="1" t="s">
        <v>29</v>
      </c>
      <c r="N629" s="1">
        <v>2018</v>
      </c>
      <c r="O629" t="str" cm="1">
        <f t="array" ref="O629">_xlfn.IFS(OR($K629="Ghana", $K629="Nigeria"), "Anglophone", OR($K629="Togo", $K629="Benin", $K629="Senegal"), "Francophone")</f>
        <v>Francophone</v>
      </c>
      <c r="P629" s="1" t="str">
        <f>LEFT(Int_breweries[[#This Row],[MONTHS]], 3)</f>
        <v>Apr</v>
      </c>
    </row>
    <row r="630" spans="1:16" ht="12.5" x14ac:dyDescent="0.25">
      <c r="A630" s="1">
        <v>10729</v>
      </c>
      <c r="B630" s="1" t="s">
        <v>12</v>
      </c>
      <c r="C630" s="1" t="s">
        <v>13</v>
      </c>
      <c r="D630" t="s">
        <v>68</v>
      </c>
      <c r="E630" s="1">
        <v>80</v>
      </c>
      <c r="F630" s="1">
        <v>150</v>
      </c>
      <c r="G630" s="1">
        <v>710</v>
      </c>
      <c r="H630" s="1">
        <f>Int_breweries[[#This Row],[PLANT_COST]]*Int_breweries[[#This Row],[QUANTITY]]</f>
        <v>56800</v>
      </c>
      <c r="I630" s="1">
        <v>106500</v>
      </c>
      <c r="J630" s="1">
        <v>49700</v>
      </c>
      <c r="K630" s="1" t="s">
        <v>28</v>
      </c>
      <c r="L630" t="s">
        <v>59</v>
      </c>
      <c r="M630" s="1" t="s">
        <v>33</v>
      </c>
      <c r="N630" s="1">
        <v>2017</v>
      </c>
      <c r="O630" t="str" cm="1">
        <f t="array" ref="O630">_xlfn.IFS(OR($K630="Ghana", $K630="Nigeria"), "Anglophone", OR($K630="Togo", $K630="Benin", $K630="Senegal"), "Francophone")</f>
        <v>Francophone</v>
      </c>
      <c r="P630" s="1" t="str">
        <f>LEFT(Int_breweries[[#This Row],[MONTHS]], 3)</f>
        <v>May</v>
      </c>
    </row>
    <row r="631" spans="1:16" ht="12.5" x14ac:dyDescent="0.25">
      <c r="A631" s="1">
        <v>10730</v>
      </c>
      <c r="B631" s="1" t="s">
        <v>17</v>
      </c>
      <c r="C631" s="1" t="s">
        <v>18</v>
      </c>
      <c r="D631" t="s">
        <v>69</v>
      </c>
      <c r="E631" s="1">
        <v>90</v>
      </c>
      <c r="F631" s="1">
        <v>150</v>
      </c>
      <c r="G631" s="1">
        <v>719</v>
      </c>
      <c r="H631" s="1">
        <f>Int_breweries[[#This Row],[PLANT_COST]]*Int_breweries[[#This Row],[QUANTITY]]</f>
        <v>64710</v>
      </c>
      <c r="I631" s="1">
        <v>107850</v>
      </c>
      <c r="J631" s="1">
        <v>43140</v>
      </c>
      <c r="K631" s="1" t="s">
        <v>32</v>
      </c>
      <c r="L631" t="s">
        <v>60</v>
      </c>
      <c r="M631" s="1" t="s">
        <v>34</v>
      </c>
      <c r="N631" s="1">
        <v>2019</v>
      </c>
      <c r="O631" t="str" cm="1">
        <f t="array" ref="O631">_xlfn.IFS(OR($K631="Ghana", $K631="Nigeria"), "Anglophone", OR($K631="Togo", $K631="Benin", $K631="Senegal"), "Francophone")</f>
        <v>Francophone</v>
      </c>
      <c r="P631" s="1" t="str">
        <f>LEFT(Int_breweries[[#This Row],[MONTHS]], 3)</f>
        <v>Jun</v>
      </c>
    </row>
    <row r="632" spans="1:16" ht="12.5" x14ac:dyDescent="0.25">
      <c r="A632" s="1">
        <v>10731</v>
      </c>
      <c r="B632" s="1" t="s">
        <v>22</v>
      </c>
      <c r="C632" s="1" t="s">
        <v>23</v>
      </c>
      <c r="D632" t="s">
        <v>63</v>
      </c>
      <c r="E632" s="1">
        <v>150</v>
      </c>
      <c r="F632" s="1">
        <v>200</v>
      </c>
      <c r="G632" s="1">
        <v>738</v>
      </c>
      <c r="H632" s="1">
        <f>Int_breweries[[#This Row],[PLANT_COST]]*Int_breweries[[#This Row],[QUANTITY]]</f>
        <v>110700</v>
      </c>
      <c r="I632" s="1">
        <v>147600</v>
      </c>
      <c r="J632" s="1">
        <v>36900</v>
      </c>
      <c r="K632" s="1" t="s">
        <v>14</v>
      </c>
      <c r="L632" t="s">
        <v>61</v>
      </c>
      <c r="M632" s="1" t="s">
        <v>37</v>
      </c>
      <c r="N632" s="1">
        <v>2017</v>
      </c>
      <c r="O632" t="str" cm="1">
        <f t="array" ref="O632">_xlfn.IFS(OR($K632="Ghana", $K632="Nigeria"), "Anglophone", OR($K632="Togo", $K632="Benin", $K632="Senegal"), "Francophone")</f>
        <v>Anglophone</v>
      </c>
      <c r="P632" s="1" t="str">
        <f>LEFT(Int_breweries[[#This Row],[MONTHS]], 3)</f>
        <v>Jul</v>
      </c>
    </row>
    <row r="633" spans="1:16" ht="12.5" x14ac:dyDescent="0.25">
      <c r="A633" s="1">
        <v>10732</v>
      </c>
      <c r="B633" s="1" t="s">
        <v>26</v>
      </c>
      <c r="C633" s="1" t="s">
        <v>27</v>
      </c>
      <c r="D633" t="s">
        <v>64</v>
      </c>
      <c r="E633" s="1">
        <v>250</v>
      </c>
      <c r="F633" s="1">
        <v>500</v>
      </c>
      <c r="G633" s="1">
        <v>884</v>
      </c>
      <c r="H633" s="1">
        <f>Int_breweries[[#This Row],[PLANT_COST]]*Int_breweries[[#This Row],[QUANTITY]]</f>
        <v>221000</v>
      </c>
      <c r="I633" s="1">
        <v>442000</v>
      </c>
      <c r="J633" s="1">
        <v>221000</v>
      </c>
      <c r="K633" s="1" t="s">
        <v>19</v>
      </c>
      <c r="L633" t="s">
        <v>62</v>
      </c>
      <c r="M633" s="1" t="s">
        <v>38</v>
      </c>
      <c r="N633" s="1">
        <v>2019</v>
      </c>
      <c r="O633" t="str" cm="1">
        <f t="array" ref="O633">_xlfn.IFS(OR($K633="Ghana", $K633="Nigeria"), "Anglophone", OR($K633="Togo", $K633="Benin", $K633="Senegal"), "Francophone")</f>
        <v>Anglophone</v>
      </c>
      <c r="P633" s="1" t="str">
        <f>LEFT(Int_breweries[[#This Row],[MONTHS]], 3)</f>
        <v>Aug</v>
      </c>
    </row>
    <row r="634" spans="1:16" ht="12.5" x14ac:dyDescent="0.25">
      <c r="A634" s="1">
        <v>10733</v>
      </c>
      <c r="B634" s="1" t="s">
        <v>30</v>
      </c>
      <c r="C634" s="1" t="s">
        <v>31</v>
      </c>
      <c r="D634" t="s">
        <v>65</v>
      </c>
      <c r="E634" s="1">
        <v>180</v>
      </c>
      <c r="F634" s="1">
        <v>450</v>
      </c>
      <c r="G634" s="1">
        <v>772</v>
      </c>
      <c r="H634" s="1">
        <f>Int_breweries[[#This Row],[PLANT_COST]]*Int_breweries[[#This Row],[QUANTITY]]</f>
        <v>138960</v>
      </c>
      <c r="I634" s="1">
        <v>347400</v>
      </c>
      <c r="J634" s="1">
        <v>208440</v>
      </c>
      <c r="K634" s="1" t="s">
        <v>24</v>
      </c>
      <c r="L634" t="s">
        <v>15</v>
      </c>
      <c r="M634" s="1" t="s">
        <v>41</v>
      </c>
      <c r="N634" s="1">
        <v>2017</v>
      </c>
      <c r="O634" t="str" cm="1">
        <f t="array" ref="O634">_xlfn.IFS(OR($K634="Ghana", $K634="Nigeria"), "Anglophone", OR($K634="Togo", $K634="Benin", $K634="Senegal"), "Francophone")</f>
        <v>Francophone</v>
      </c>
      <c r="P634" s="1" t="str">
        <f>LEFT(Int_breweries[[#This Row],[MONTHS]], 3)</f>
        <v>Sep</v>
      </c>
    </row>
    <row r="635" spans="1:16" ht="12.5" x14ac:dyDescent="0.25">
      <c r="A635" s="1">
        <v>10734</v>
      </c>
      <c r="B635" s="1" t="s">
        <v>12</v>
      </c>
      <c r="C635" s="1" t="s">
        <v>13</v>
      </c>
      <c r="D635" t="s">
        <v>66</v>
      </c>
      <c r="E635" s="1">
        <v>170</v>
      </c>
      <c r="F635" s="1">
        <v>250</v>
      </c>
      <c r="G635" s="1">
        <v>762</v>
      </c>
      <c r="H635" s="1">
        <f>Int_breweries[[#This Row],[PLANT_COST]]*Int_breweries[[#This Row],[QUANTITY]]</f>
        <v>129540</v>
      </c>
      <c r="I635" s="1">
        <v>190500</v>
      </c>
      <c r="J635" s="1">
        <v>60960</v>
      </c>
      <c r="K635" s="1" t="s">
        <v>28</v>
      </c>
      <c r="L635" t="s">
        <v>58</v>
      </c>
      <c r="M635" s="1" t="s">
        <v>44</v>
      </c>
      <c r="N635" s="1">
        <v>2017</v>
      </c>
      <c r="O635" t="str" cm="1">
        <f t="array" ref="O635">_xlfn.IFS(OR($K635="Ghana", $K635="Nigeria"), "Anglophone", OR($K635="Togo", $K635="Benin", $K635="Senegal"), "Francophone")</f>
        <v>Francophone</v>
      </c>
      <c r="P635" s="1" t="str">
        <f>LEFT(Int_breweries[[#This Row],[MONTHS]], 3)</f>
        <v>Oct</v>
      </c>
    </row>
    <row r="636" spans="1:16" ht="12.5" x14ac:dyDescent="0.25">
      <c r="A636" s="1">
        <v>10735</v>
      </c>
      <c r="B636" s="1" t="s">
        <v>35</v>
      </c>
      <c r="C636" s="1" t="s">
        <v>36</v>
      </c>
      <c r="D636" t="s">
        <v>67</v>
      </c>
      <c r="E636" s="1">
        <v>150</v>
      </c>
      <c r="F636" s="1">
        <v>200</v>
      </c>
      <c r="G636" s="1">
        <v>830</v>
      </c>
      <c r="H636" s="1">
        <f>Int_breweries[[#This Row],[PLANT_COST]]*Int_breweries[[#This Row],[QUANTITY]]</f>
        <v>124500</v>
      </c>
      <c r="I636" s="1">
        <v>166000</v>
      </c>
      <c r="J636" s="1">
        <v>41500</v>
      </c>
      <c r="K636" s="1" t="s">
        <v>32</v>
      </c>
      <c r="L636" t="s">
        <v>59</v>
      </c>
      <c r="M636" s="1" t="s">
        <v>47</v>
      </c>
      <c r="N636" s="1">
        <v>2018</v>
      </c>
      <c r="O636" t="str" cm="1">
        <f t="array" ref="O636">_xlfn.IFS(OR($K636="Ghana", $K636="Nigeria"), "Anglophone", OR($K636="Togo", $K636="Benin", $K636="Senegal"), "Francophone")</f>
        <v>Francophone</v>
      </c>
      <c r="P636" s="1" t="str">
        <f>LEFT(Int_breweries[[#This Row],[MONTHS]], 3)</f>
        <v>Nov</v>
      </c>
    </row>
    <row r="637" spans="1:16" ht="12.5" x14ac:dyDescent="0.25">
      <c r="A637" s="1">
        <v>10736</v>
      </c>
      <c r="B637" s="1" t="s">
        <v>26</v>
      </c>
      <c r="C637" s="1" t="s">
        <v>27</v>
      </c>
      <c r="D637" t="s">
        <v>68</v>
      </c>
      <c r="E637" s="1">
        <v>80</v>
      </c>
      <c r="F637" s="1">
        <v>150</v>
      </c>
      <c r="G637" s="1">
        <v>995</v>
      </c>
      <c r="H637" s="1">
        <f>Int_breweries[[#This Row],[PLANT_COST]]*Int_breweries[[#This Row],[QUANTITY]]</f>
        <v>79600</v>
      </c>
      <c r="I637" s="1">
        <v>149250</v>
      </c>
      <c r="J637" s="1">
        <v>69650</v>
      </c>
      <c r="K637" s="1" t="s">
        <v>14</v>
      </c>
      <c r="L637" t="s">
        <v>60</v>
      </c>
      <c r="M637" s="1" t="s">
        <v>48</v>
      </c>
      <c r="N637" s="1">
        <v>2018</v>
      </c>
      <c r="O637" t="str" cm="1">
        <f t="array" ref="O637">_xlfn.IFS(OR($K637="Ghana", $K637="Nigeria"), "Anglophone", OR($K637="Togo", $K637="Benin", $K637="Senegal"), "Francophone")</f>
        <v>Anglophone</v>
      </c>
      <c r="P637" s="1" t="str">
        <f>LEFT(Int_breweries[[#This Row],[MONTHS]], 3)</f>
        <v>Dec</v>
      </c>
    </row>
    <row r="638" spans="1:16" ht="12.5" x14ac:dyDescent="0.25">
      <c r="A638" s="1">
        <v>10737</v>
      </c>
      <c r="B638" s="1" t="s">
        <v>39</v>
      </c>
      <c r="C638" s="1" t="s">
        <v>40</v>
      </c>
      <c r="D638" t="s">
        <v>69</v>
      </c>
      <c r="E638" s="1">
        <v>90</v>
      </c>
      <c r="F638" s="1">
        <v>150</v>
      </c>
      <c r="G638" s="1">
        <v>812</v>
      </c>
      <c r="H638" s="1">
        <f>Int_breweries[[#This Row],[PLANT_COST]]*Int_breweries[[#This Row],[QUANTITY]]</f>
        <v>73080</v>
      </c>
      <c r="I638" s="1">
        <v>121800</v>
      </c>
      <c r="J638" s="1">
        <v>48720</v>
      </c>
      <c r="K638" s="1" t="s">
        <v>19</v>
      </c>
      <c r="L638" t="s">
        <v>61</v>
      </c>
      <c r="M638" s="1" t="s">
        <v>16</v>
      </c>
      <c r="N638" s="1">
        <v>2019</v>
      </c>
      <c r="O638" t="str" cm="1">
        <f t="array" ref="O638">_xlfn.IFS(OR($K638="Ghana", $K638="Nigeria"), "Anglophone", OR($K638="Togo", $K638="Benin", $K638="Senegal"), "Francophone")</f>
        <v>Anglophone</v>
      </c>
      <c r="P638" s="1" t="str">
        <f>LEFT(Int_breweries[[#This Row],[MONTHS]], 3)</f>
        <v>Jan</v>
      </c>
    </row>
    <row r="639" spans="1:16" ht="12.5" x14ac:dyDescent="0.25">
      <c r="A639" s="1">
        <v>10738</v>
      </c>
      <c r="B639" s="1" t="s">
        <v>42</v>
      </c>
      <c r="C639" s="1" t="s">
        <v>43</v>
      </c>
      <c r="D639" t="s">
        <v>63</v>
      </c>
      <c r="E639" s="1">
        <v>150</v>
      </c>
      <c r="F639" s="1">
        <v>200</v>
      </c>
      <c r="G639" s="1">
        <v>993</v>
      </c>
      <c r="H639" s="1">
        <f>Int_breweries[[#This Row],[PLANT_COST]]*Int_breweries[[#This Row],[QUANTITY]]</f>
        <v>148950</v>
      </c>
      <c r="I639" s="1">
        <v>198600</v>
      </c>
      <c r="J639" s="1">
        <v>49650</v>
      </c>
      <c r="K639" s="1" t="s">
        <v>24</v>
      </c>
      <c r="L639" t="s">
        <v>62</v>
      </c>
      <c r="M639" s="1" t="s">
        <v>21</v>
      </c>
      <c r="N639" s="1">
        <v>2018</v>
      </c>
      <c r="O639" t="str" cm="1">
        <f t="array" ref="O639">_xlfn.IFS(OR($K639="Ghana", $K639="Nigeria"), "Anglophone", OR($K639="Togo", $K639="Benin", $K639="Senegal"), "Francophone")</f>
        <v>Francophone</v>
      </c>
      <c r="P639" s="1" t="str">
        <f>LEFT(Int_breweries[[#This Row],[MONTHS]], 3)</f>
        <v>Feb</v>
      </c>
    </row>
    <row r="640" spans="1:16" ht="12.5" x14ac:dyDescent="0.25">
      <c r="A640" s="1">
        <v>10739</v>
      </c>
      <c r="B640" s="1" t="s">
        <v>45</v>
      </c>
      <c r="C640" s="1" t="s">
        <v>46</v>
      </c>
      <c r="D640" t="s">
        <v>64</v>
      </c>
      <c r="E640" s="1">
        <v>250</v>
      </c>
      <c r="F640" s="1">
        <v>500</v>
      </c>
      <c r="G640" s="1">
        <v>941</v>
      </c>
      <c r="H640" s="1">
        <f>Int_breweries[[#This Row],[PLANT_COST]]*Int_breweries[[#This Row],[QUANTITY]]</f>
        <v>235250</v>
      </c>
      <c r="I640" s="1">
        <v>470500</v>
      </c>
      <c r="J640" s="1">
        <v>235250</v>
      </c>
      <c r="K640" s="1" t="s">
        <v>28</v>
      </c>
      <c r="L640" t="s">
        <v>15</v>
      </c>
      <c r="M640" s="1" t="s">
        <v>25</v>
      </c>
      <c r="N640" s="1">
        <v>2017</v>
      </c>
      <c r="O640" t="str" cm="1">
        <f t="array" ref="O640">_xlfn.IFS(OR($K640="Ghana", $K640="Nigeria"), "Anglophone", OR($K640="Togo", $K640="Benin", $K640="Senegal"), "Francophone")</f>
        <v>Francophone</v>
      </c>
      <c r="P640" s="1" t="str">
        <f>LEFT(Int_breweries[[#This Row],[MONTHS]], 3)</f>
        <v>Mar</v>
      </c>
    </row>
    <row r="641" spans="1:16" ht="12.5" x14ac:dyDescent="0.25">
      <c r="A641" s="1">
        <v>10740</v>
      </c>
      <c r="B641" s="1" t="s">
        <v>26</v>
      </c>
      <c r="C641" s="1" t="s">
        <v>27</v>
      </c>
      <c r="D641" t="s">
        <v>65</v>
      </c>
      <c r="E641" s="1">
        <v>180</v>
      </c>
      <c r="F641" s="1">
        <v>450</v>
      </c>
      <c r="G641" s="1">
        <v>703</v>
      </c>
      <c r="H641" s="1">
        <f>Int_breweries[[#This Row],[PLANT_COST]]*Int_breweries[[#This Row],[QUANTITY]]</f>
        <v>126540</v>
      </c>
      <c r="I641" s="1">
        <v>316350</v>
      </c>
      <c r="J641" s="1">
        <v>189810</v>
      </c>
      <c r="K641" s="1" t="s">
        <v>32</v>
      </c>
      <c r="L641" t="s">
        <v>58</v>
      </c>
      <c r="M641" s="1" t="s">
        <v>29</v>
      </c>
      <c r="N641" s="1">
        <v>2019</v>
      </c>
      <c r="O641" t="str" cm="1">
        <f t="array" ref="O641">_xlfn.IFS(OR($K641="Ghana", $K641="Nigeria"), "Anglophone", OR($K641="Togo", $K641="Benin", $K641="Senegal"), "Francophone")</f>
        <v>Francophone</v>
      </c>
      <c r="P641" s="1" t="str">
        <f>LEFT(Int_breweries[[#This Row],[MONTHS]], 3)</f>
        <v>Apr</v>
      </c>
    </row>
    <row r="642" spans="1:16" ht="12.5" x14ac:dyDescent="0.25">
      <c r="A642" s="1">
        <v>10741</v>
      </c>
      <c r="B642" s="1" t="s">
        <v>49</v>
      </c>
      <c r="C642" s="1" t="s">
        <v>50</v>
      </c>
      <c r="D642" t="s">
        <v>66</v>
      </c>
      <c r="E642" s="1">
        <v>170</v>
      </c>
      <c r="F642" s="1">
        <v>250</v>
      </c>
      <c r="G642" s="1">
        <v>834</v>
      </c>
      <c r="H642" s="1">
        <f>Int_breweries[[#This Row],[PLANT_COST]]*Int_breweries[[#This Row],[QUANTITY]]</f>
        <v>141780</v>
      </c>
      <c r="I642" s="1">
        <v>208500</v>
      </c>
      <c r="J642" s="1">
        <v>66720</v>
      </c>
      <c r="K642" s="1" t="s">
        <v>14</v>
      </c>
      <c r="L642" t="s">
        <v>59</v>
      </c>
      <c r="M642" s="1" t="s">
        <v>33</v>
      </c>
      <c r="N642" s="1">
        <v>2019</v>
      </c>
      <c r="O642" t="str" cm="1">
        <f t="array" ref="O642">_xlfn.IFS(OR($K642="Ghana", $K642="Nigeria"), "Anglophone", OR($K642="Togo", $K642="Benin", $K642="Senegal"), "Francophone")</f>
        <v>Anglophone</v>
      </c>
      <c r="P642" s="1" t="str">
        <f>LEFT(Int_breweries[[#This Row],[MONTHS]], 3)</f>
        <v>May</v>
      </c>
    </row>
    <row r="643" spans="1:16" ht="12.5" x14ac:dyDescent="0.25">
      <c r="A643" s="1">
        <v>10742</v>
      </c>
      <c r="B643" s="1" t="s">
        <v>26</v>
      </c>
      <c r="C643" s="1" t="s">
        <v>27</v>
      </c>
      <c r="D643" t="s">
        <v>67</v>
      </c>
      <c r="E643" s="1">
        <v>150</v>
      </c>
      <c r="F643" s="1">
        <v>200</v>
      </c>
      <c r="G643" s="1">
        <v>843</v>
      </c>
      <c r="H643" s="1">
        <f>Int_breweries[[#This Row],[PLANT_COST]]*Int_breweries[[#This Row],[QUANTITY]]</f>
        <v>126450</v>
      </c>
      <c r="I643" s="1">
        <v>168600</v>
      </c>
      <c r="J643" s="1">
        <v>42150</v>
      </c>
      <c r="K643" s="1" t="s">
        <v>19</v>
      </c>
      <c r="L643" t="s">
        <v>60</v>
      </c>
      <c r="M643" s="1" t="s">
        <v>34</v>
      </c>
      <c r="N643" s="1">
        <v>2019</v>
      </c>
      <c r="O643" t="str" cm="1">
        <f t="array" ref="O643">_xlfn.IFS(OR($K643="Ghana", $K643="Nigeria"), "Anglophone", OR($K643="Togo", $K643="Benin", $K643="Senegal"), "Francophone")</f>
        <v>Anglophone</v>
      </c>
      <c r="P643" s="1" t="str">
        <f>LEFT(Int_breweries[[#This Row],[MONTHS]], 3)</f>
        <v>Jun</v>
      </c>
    </row>
    <row r="644" spans="1:16" ht="12.5" x14ac:dyDescent="0.25">
      <c r="A644" s="1">
        <v>10743</v>
      </c>
      <c r="B644" s="1" t="s">
        <v>12</v>
      </c>
      <c r="C644" s="1" t="s">
        <v>13</v>
      </c>
      <c r="D644" t="s">
        <v>68</v>
      </c>
      <c r="E644" s="1">
        <v>80</v>
      </c>
      <c r="F644" s="1">
        <v>150</v>
      </c>
      <c r="G644" s="1">
        <v>749</v>
      </c>
      <c r="H644" s="1">
        <f>Int_breweries[[#This Row],[PLANT_COST]]*Int_breweries[[#This Row],[QUANTITY]]</f>
        <v>59920</v>
      </c>
      <c r="I644" s="1">
        <v>112350</v>
      </c>
      <c r="J644" s="1">
        <v>52430</v>
      </c>
      <c r="K644" s="1" t="s">
        <v>24</v>
      </c>
      <c r="L644" t="s">
        <v>61</v>
      </c>
      <c r="M644" s="1" t="s">
        <v>37</v>
      </c>
      <c r="N644" s="1">
        <v>2019</v>
      </c>
      <c r="O644" t="str" cm="1">
        <f t="array" ref="O644">_xlfn.IFS(OR($K644="Ghana", $K644="Nigeria"), "Anglophone", OR($K644="Togo", $K644="Benin", $K644="Senegal"), "Francophone")</f>
        <v>Francophone</v>
      </c>
      <c r="P644" s="1" t="str">
        <f>LEFT(Int_breweries[[#This Row],[MONTHS]], 3)</f>
        <v>Jul</v>
      </c>
    </row>
    <row r="645" spans="1:16" ht="12.5" x14ac:dyDescent="0.25">
      <c r="A645" s="1">
        <v>10744</v>
      </c>
      <c r="B645" s="1" t="s">
        <v>17</v>
      </c>
      <c r="C645" s="1" t="s">
        <v>18</v>
      </c>
      <c r="D645" t="s">
        <v>69</v>
      </c>
      <c r="E645" s="1">
        <v>90</v>
      </c>
      <c r="F645" s="1">
        <v>150</v>
      </c>
      <c r="G645" s="1">
        <v>859</v>
      </c>
      <c r="H645" s="1">
        <f>Int_breweries[[#This Row],[PLANT_COST]]*Int_breweries[[#This Row],[QUANTITY]]</f>
        <v>77310</v>
      </c>
      <c r="I645" s="1">
        <v>128850</v>
      </c>
      <c r="J645" s="1">
        <v>51540</v>
      </c>
      <c r="K645" s="1" t="s">
        <v>28</v>
      </c>
      <c r="L645" t="s">
        <v>62</v>
      </c>
      <c r="M645" s="1" t="s">
        <v>38</v>
      </c>
      <c r="N645" s="1">
        <v>2017</v>
      </c>
      <c r="O645" t="str" cm="1">
        <f t="array" ref="O645">_xlfn.IFS(OR($K645="Ghana", $K645="Nigeria"), "Anglophone", OR($K645="Togo", $K645="Benin", $K645="Senegal"), "Francophone")</f>
        <v>Francophone</v>
      </c>
      <c r="P645" s="1" t="str">
        <f>LEFT(Int_breweries[[#This Row],[MONTHS]], 3)</f>
        <v>Aug</v>
      </c>
    </row>
    <row r="646" spans="1:16" ht="12.5" x14ac:dyDescent="0.25">
      <c r="A646" s="1">
        <v>10745</v>
      </c>
      <c r="B646" s="1" t="s">
        <v>22</v>
      </c>
      <c r="C646" s="1" t="s">
        <v>23</v>
      </c>
      <c r="D646" t="s">
        <v>63</v>
      </c>
      <c r="E646" s="1">
        <v>150</v>
      </c>
      <c r="F646" s="1">
        <v>200</v>
      </c>
      <c r="G646" s="1">
        <v>962</v>
      </c>
      <c r="H646" s="1">
        <f>Int_breweries[[#This Row],[PLANT_COST]]*Int_breweries[[#This Row],[QUANTITY]]</f>
        <v>144300</v>
      </c>
      <c r="I646" s="1">
        <v>192400</v>
      </c>
      <c r="J646" s="1">
        <v>48100</v>
      </c>
      <c r="K646" s="1" t="s">
        <v>32</v>
      </c>
      <c r="L646" t="s">
        <v>15</v>
      </c>
      <c r="M646" s="1" t="s">
        <v>41</v>
      </c>
      <c r="N646" s="1">
        <v>2017</v>
      </c>
      <c r="O646" t="str" cm="1">
        <f t="array" ref="O646">_xlfn.IFS(OR($K646="Ghana", $K646="Nigeria"), "Anglophone", OR($K646="Togo", $K646="Benin", $K646="Senegal"), "Francophone")</f>
        <v>Francophone</v>
      </c>
      <c r="P646" s="1" t="str">
        <f>LEFT(Int_breweries[[#This Row],[MONTHS]], 3)</f>
        <v>Sep</v>
      </c>
    </row>
    <row r="647" spans="1:16" ht="12.5" x14ac:dyDescent="0.25">
      <c r="A647" s="1">
        <v>10746</v>
      </c>
      <c r="B647" s="1" t="s">
        <v>26</v>
      </c>
      <c r="C647" s="1" t="s">
        <v>27</v>
      </c>
      <c r="D647" t="s">
        <v>64</v>
      </c>
      <c r="E647" s="1">
        <v>250</v>
      </c>
      <c r="F647" s="1">
        <v>500</v>
      </c>
      <c r="G647" s="1">
        <v>816</v>
      </c>
      <c r="H647" s="1">
        <f>Int_breweries[[#This Row],[PLANT_COST]]*Int_breweries[[#This Row],[QUANTITY]]</f>
        <v>204000</v>
      </c>
      <c r="I647" s="1">
        <v>408000</v>
      </c>
      <c r="J647" s="1">
        <v>204000</v>
      </c>
      <c r="K647" s="1" t="s">
        <v>14</v>
      </c>
      <c r="L647" t="s">
        <v>58</v>
      </c>
      <c r="M647" s="1" t="s">
        <v>44</v>
      </c>
      <c r="N647" s="1">
        <v>2019</v>
      </c>
      <c r="O647" t="str" cm="1">
        <f t="array" ref="O647">_xlfn.IFS(OR($K647="Ghana", $K647="Nigeria"), "Anglophone", OR($K647="Togo", $K647="Benin", $K647="Senegal"), "Francophone")</f>
        <v>Anglophone</v>
      </c>
      <c r="P647" s="1" t="str">
        <f>LEFT(Int_breweries[[#This Row],[MONTHS]], 3)</f>
        <v>Oct</v>
      </c>
    </row>
    <row r="648" spans="1:16" ht="12.5" x14ac:dyDescent="0.25">
      <c r="A648" s="1">
        <v>10747</v>
      </c>
      <c r="B648" s="1" t="s">
        <v>30</v>
      </c>
      <c r="C648" s="1" t="s">
        <v>31</v>
      </c>
      <c r="D648" t="s">
        <v>65</v>
      </c>
      <c r="E648" s="1">
        <v>180</v>
      </c>
      <c r="F648" s="1">
        <v>450</v>
      </c>
      <c r="G648" s="1">
        <v>989</v>
      </c>
      <c r="H648" s="1">
        <f>Int_breweries[[#This Row],[PLANT_COST]]*Int_breweries[[#This Row],[QUANTITY]]</f>
        <v>178020</v>
      </c>
      <c r="I648" s="1">
        <v>445050</v>
      </c>
      <c r="J648" s="1">
        <v>267030</v>
      </c>
      <c r="K648" s="1" t="s">
        <v>19</v>
      </c>
      <c r="L648" t="s">
        <v>59</v>
      </c>
      <c r="M648" s="1" t="s">
        <v>47</v>
      </c>
      <c r="N648" s="1">
        <v>2017</v>
      </c>
      <c r="O648" t="str" cm="1">
        <f t="array" ref="O648">_xlfn.IFS(OR($K648="Ghana", $K648="Nigeria"), "Anglophone", OR($K648="Togo", $K648="Benin", $K648="Senegal"), "Francophone")</f>
        <v>Anglophone</v>
      </c>
      <c r="P648" s="1" t="str">
        <f>LEFT(Int_breweries[[#This Row],[MONTHS]], 3)</f>
        <v>Nov</v>
      </c>
    </row>
    <row r="649" spans="1:16" ht="12.5" x14ac:dyDescent="0.25">
      <c r="A649" s="1">
        <v>10748</v>
      </c>
      <c r="B649" s="1" t="s">
        <v>12</v>
      </c>
      <c r="C649" s="1" t="s">
        <v>13</v>
      </c>
      <c r="D649" t="s">
        <v>66</v>
      </c>
      <c r="E649" s="1">
        <v>170</v>
      </c>
      <c r="F649" s="1">
        <v>250</v>
      </c>
      <c r="G649" s="1">
        <v>702</v>
      </c>
      <c r="H649" s="1">
        <f>Int_breweries[[#This Row],[PLANT_COST]]*Int_breweries[[#This Row],[QUANTITY]]</f>
        <v>119340</v>
      </c>
      <c r="I649" s="1">
        <v>175500</v>
      </c>
      <c r="J649" s="1">
        <v>56160</v>
      </c>
      <c r="K649" s="1" t="s">
        <v>24</v>
      </c>
      <c r="L649" t="s">
        <v>60</v>
      </c>
      <c r="M649" s="1" t="s">
        <v>48</v>
      </c>
      <c r="N649" s="1">
        <v>2018</v>
      </c>
      <c r="O649" t="str" cm="1">
        <f t="array" ref="O649">_xlfn.IFS(OR($K649="Ghana", $K649="Nigeria"), "Anglophone", OR($K649="Togo", $K649="Benin", $K649="Senegal"), "Francophone")</f>
        <v>Francophone</v>
      </c>
      <c r="P649" s="1" t="str">
        <f>LEFT(Int_breweries[[#This Row],[MONTHS]], 3)</f>
        <v>Dec</v>
      </c>
    </row>
    <row r="650" spans="1:16" ht="12.5" x14ac:dyDescent="0.25">
      <c r="A650" s="1">
        <v>10749</v>
      </c>
      <c r="B650" s="1" t="s">
        <v>35</v>
      </c>
      <c r="C650" s="1" t="s">
        <v>36</v>
      </c>
      <c r="D650" t="s">
        <v>67</v>
      </c>
      <c r="E650" s="1">
        <v>150</v>
      </c>
      <c r="F650" s="1">
        <v>200</v>
      </c>
      <c r="G650" s="1">
        <v>830</v>
      </c>
      <c r="H650" s="1">
        <f>Int_breweries[[#This Row],[PLANT_COST]]*Int_breweries[[#This Row],[QUANTITY]]</f>
        <v>124500</v>
      </c>
      <c r="I650" s="1">
        <v>166000</v>
      </c>
      <c r="J650" s="1">
        <v>41500</v>
      </c>
      <c r="K650" s="1" t="s">
        <v>28</v>
      </c>
      <c r="L650" t="s">
        <v>61</v>
      </c>
      <c r="M650" s="1" t="s">
        <v>16</v>
      </c>
      <c r="N650" s="1">
        <v>2018</v>
      </c>
      <c r="O650" t="str" cm="1">
        <f t="array" ref="O650">_xlfn.IFS(OR($K650="Ghana", $K650="Nigeria"), "Anglophone", OR($K650="Togo", $K650="Benin", $K650="Senegal"), "Francophone")</f>
        <v>Francophone</v>
      </c>
      <c r="P650" s="1" t="str">
        <f>LEFT(Int_breweries[[#This Row],[MONTHS]], 3)</f>
        <v>Jan</v>
      </c>
    </row>
    <row r="651" spans="1:16" ht="12.5" x14ac:dyDescent="0.25">
      <c r="A651" s="1">
        <v>10750</v>
      </c>
      <c r="B651" s="1" t="s">
        <v>26</v>
      </c>
      <c r="C651" s="1" t="s">
        <v>27</v>
      </c>
      <c r="D651" t="s">
        <v>68</v>
      </c>
      <c r="E651" s="1">
        <v>80</v>
      </c>
      <c r="F651" s="1">
        <v>150</v>
      </c>
      <c r="G651" s="1">
        <v>710</v>
      </c>
      <c r="H651" s="1">
        <f>Int_breweries[[#This Row],[PLANT_COST]]*Int_breweries[[#This Row],[QUANTITY]]</f>
        <v>56800</v>
      </c>
      <c r="I651" s="1">
        <v>106500</v>
      </c>
      <c r="J651" s="1">
        <v>49700</v>
      </c>
      <c r="K651" s="1" t="s">
        <v>32</v>
      </c>
      <c r="L651" t="s">
        <v>62</v>
      </c>
      <c r="M651" s="1" t="s">
        <v>21</v>
      </c>
      <c r="N651" s="1">
        <v>2018</v>
      </c>
      <c r="O651" t="str" cm="1">
        <f t="array" ref="O651">_xlfn.IFS(OR($K651="Ghana", $K651="Nigeria"), "Anglophone", OR($K651="Togo", $K651="Benin", $K651="Senegal"), "Francophone")</f>
        <v>Francophone</v>
      </c>
      <c r="P651" s="1" t="str">
        <f>LEFT(Int_breweries[[#This Row],[MONTHS]], 3)</f>
        <v>Feb</v>
      </c>
    </row>
    <row r="652" spans="1:16" ht="12.5" x14ac:dyDescent="0.25">
      <c r="A652" s="1">
        <v>10751</v>
      </c>
      <c r="B652" s="1" t="s">
        <v>39</v>
      </c>
      <c r="C652" s="1" t="s">
        <v>40</v>
      </c>
      <c r="D652" t="s">
        <v>69</v>
      </c>
      <c r="E652" s="1">
        <v>90</v>
      </c>
      <c r="F652" s="1">
        <v>150</v>
      </c>
      <c r="G652" s="1">
        <v>708</v>
      </c>
      <c r="H652" s="1">
        <f>Int_breweries[[#This Row],[PLANT_COST]]*Int_breweries[[#This Row],[QUANTITY]]</f>
        <v>63720</v>
      </c>
      <c r="I652" s="1">
        <v>106200</v>
      </c>
      <c r="J652" s="1">
        <v>42480</v>
      </c>
      <c r="K652" s="1" t="s">
        <v>14</v>
      </c>
      <c r="L652" t="s">
        <v>15</v>
      </c>
      <c r="M652" s="1" t="s">
        <v>25</v>
      </c>
      <c r="N652" s="1">
        <v>2018</v>
      </c>
      <c r="O652" t="str" cm="1">
        <f t="array" ref="O652">_xlfn.IFS(OR($K652="Ghana", $K652="Nigeria"), "Anglophone", OR($K652="Togo", $K652="Benin", $K652="Senegal"), "Francophone")</f>
        <v>Anglophone</v>
      </c>
      <c r="P652" s="1" t="str">
        <f>LEFT(Int_breweries[[#This Row],[MONTHS]], 3)</f>
        <v>Mar</v>
      </c>
    </row>
    <row r="653" spans="1:16" ht="12.5" x14ac:dyDescent="0.25">
      <c r="A653" s="1">
        <v>10752</v>
      </c>
      <c r="B653" s="1" t="s">
        <v>42</v>
      </c>
      <c r="C653" s="1" t="s">
        <v>43</v>
      </c>
      <c r="D653" t="s">
        <v>63</v>
      </c>
      <c r="E653" s="1">
        <v>150</v>
      </c>
      <c r="F653" s="1">
        <v>200</v>
      </c>
      <c r="G653" s="1">
        <v>816</v>
      </c>
      <c r="H653" s="1">
        <f>Int_breweries[[#This Row],[PLANT_COST]]*Int_breweries[[#This Row],[QUANTITY]]</f>
        <v>122400</v>
      </c>
      <c r="I653" s="1">
        <v>163200</v>
      </c>
      <c r="J653" s="1">
        <v>40800</v>
      </c>
      <c r="K653" s="1" t="s">
        <v>19</v>
      </c>
      <c r="L653" t="s">
        <v>58</v>
      </c>
      <c r="M653" s="1" t="s">
        <v>29</v>
      </c>
      <c r="N653" s="1">
        <v>2019</v>
      </c>
      <c r="O653" t="str" cm="1">
        <f t="array" ref="O653">_xlfn.IFS(OR($K653="Ghana", $K653="Nigeria"), "Anglophone", OR($K653="Togo", $K653="Benin", $K653="Senegal"), "Francophone")</f>
        <v>Anglophone</v>
      </c>
      <c r="P653" s="1" t="str">
        <f>LEFT(Int_breweries[[#This Row],[MONTHS]], 3)</f>
        <v>Apr</v>
      </c>
    </row>
    <row r="654" spans="1:16" ht="12.5" x14ac:dyDescent="0.25">
      <c r="A654" s="1">
        <v>10753</v>
      </c>
      <c r="B654" s="1" t="s">
        <v>45</v>
      </c>
      <c r="C654" s="1" t="s">
        <v>46</v>
      </c>
      <c r="D654" t="s">
        <v>64</v>
      </c>
      <c r="E654" s="1">
        <v>250</v>
      </c>
      <c r="F654" s="1">
        <v>500</v>
      </c>
      <c r="G654" s="1">
        <v>722</v>
      </c>
      <c r="H654" s="1">
        <f>Int_breweries[[#This Row],[PLANT_COST]]*Int_breweries[[#This Row],[QUANTITY]]</f>
        <v>180500</v>
      </c>
      <c r="I654" s="1">
        <v>361000</v>
      </c>
      <c r="J654" s="1">
        <v>180500</v>
      </c>
      <c r="K654" s="1" t="s">
        <v>24</v>
      </c>
      <c r="L654" t="s">
        <v>59</v>
      </c>
      <c r="M654" s="1" t="s">
        <v>33</v>
      </c>
      <c r="N654" s="1">
        <v>2017</v>
      </c>
      <c r="O654" t="str" cm="1">
        <f t="array" ref="O654">_xlfn.IFS(OR($K654="Ghana", $K654="Nigeria"), "Anglophone", OR($K654="Togo", $K654="Benin", $K654="Senegal"), "Francophone")</f>
        <v>Francophone</v>
      </c>
      <c r="P654" s="1" t="str">
        <f>LEFT(Int_breweries[[#This Row],[MONTHS]], 3)</f>
        <v>May</v>
      </c>
    </row>
    <row r="655" spans="1:16" ht="12.5" x14ac:dyDescent="0.25">
      <c r="A655" s="1">
        <v>10754</v>
      </c>
      <c r="B655" s="1" t="s">
        <v>26</v>
      </c>
      <c r="C655" s="1" t="s">
        <v>27</v>
      </c>
      <c r="D655" t="s">
        <v>65</v>
      </c>
      <c r="E655" s="1">
        <v>180</v>
      </c>
      <c r="F655" s="1">
        <v>450</v>
      </c>
      <c r="G655" s="1">
        <v>778</v>
      </c>
      <c r="H655" s="1">
        <f>Int_breweries[[#This Row],[PLANT_COST]]*Int_breweries[[#This Row],[QUANTITY]]</f>
        <v>140040</v>
      </c>
      <c r="I655" s="1">
        <v>350100</v>
      </c>
      <c r="J655" s="1">
        <v>210060</v>
      </c>
      <c r="K655" s="1" t="s">
        <v>28</v>
      </c>
      <c r="L655" t="s">
        <v>60</v>
      </c>
      <c r="M655" s="1" t="s">
        <v>34</v>
      </c>
      <c r="N655" s="1">
        <v>2017</v>
      </c>
      <c r="O655" t="str" cm="1">
        <f t="array" ref="O655">_xlfn.IFS(OR($K655="Ghana", $K655="Nigeria"), "Anglophone", OR($K655="Togo", $K655="Benin", $K655="Senegal"), "Francophone")</f>
        <v>Francophone</v>
      </c>
      <c r="P655" s="1" t="str">
        <f>LEFT(Int_breweries[[#This Row],[MONTHS]], 3)</f>
        <v>Jun</v>
      </c>
    </row>
    <row r="656" spans="1:16" ht="12.5" x14ac:dyDescent="0.25">
      <c r="A656" s="1">
        <v>10755</v>
      </c>
      <c r="B656" s="1" t="s">
        <v>49</v>
      </c>
      <c r="C656" s="1" t="s">
        <v>50</v>
      </c>
      <c r="D656" t="s">
        <v>66</v>
      </c>
      <c r="E656" s="1">
        <v>170</v>
      </c>
      <c r="F656" s="1">
        <v>250</v>
      </c>
      <c r="G656" s="1">
        <v>732</v>
      </c>
      <c r="H656" s="1">
        <f>Int_breweries[[#This Row],[PLANT_COST]]*Int_breweries[[#This Row],[QUANTITY]]</f>
        <v>124440</v>
      </c>
      <c r="I656" s="1">
        <v>183000</v>
      </c>
      <c r="J656" s="1">
        <v>58560</v>
      </c>
      <c r="K656" s="1" t="s">
        <v>32</v>
      </c>
      <c r="L656" t="s">
        <v>61</v>
      </c>
      <c r="M656" s="1" t="s">
        <v>37</v>
      </c>
      <c r="N656" s="1">
        <v>2019</v>
      </c>
      <c r="O656" t="str" cm="1">
        <f t="array" ref="O656">_xlfn.IFS(OR($K656="Ghana", $K656="Nigeria"), "Anglophone", OR($K656="Togo", $K656="Benin", $K656="Senegal"), "Francophone")</f>
        <v>Francophone</v>
      </c>
      <c r="P656" s="1" t="str">
        <f>LEFT(Int_breweries[[#This Row],[MONTHS]], 3)</f>
        <v>Jul</v>
      </c>
    </row>
    <row r="657" spans="1:16" ht="12.5" x14ac:dyDescent="0.25">
      <c r="A657" s="1">
        <v>10756</v>
      </c>
      <c r="B657" s="1" t="s">
        <v>26</v>
      </c>
      <c r="C657" s="1" t="s">
        <v>27</v>
      </c>
      <c r="D657" t="s">
        <v>67</v>
      </c>
      <c r="E657" s="1">
        <v>150</v>
      </c>
      <c r="F657" s="1">
        <v>200</v>
      </c>
      <c r="G657" s="1">
        <v>881</v>
      </c>
      <c r="H657" s="1">
        <f>Int_breweries[[#This Row],[PLANT_COST]]*Int_breweries[[#This Row],[QUANTITY]]</f>
        <v>132150</v>
      </c>
      <c r="I657" s="1">
        <v>176200</v>
      </c>
      <c r="J657" s="1">
        <v>44050</v>
      </c>
      <c r="K657" s="1" t="s">
        <v>14</v>
      </c>
      <c r="L657" t="s">
        <v>62</v>
      </c>
      <c r="M657" s="1" t="s">
        <v>38</v>
      </c>
      <c r="N657" s="1">
        <v>2018</v>
      </c>
      <c r="O657" t="str" cm="1">
        <f t="array" ref="O657">_xlfn.IFS(OR($K657="Ghana", $K657="Nigeria"), "Anglophone", OR($K657="Togo", $K657="Benin", $K657="Senegal"), "Francophone")</f>
        <v>Anglophone</v>
      </c>
      <c r="P657" s="1" t="str">
        <f>LEFT(Int_breweries[[#This Row],[MONTHS]], 3)</f>
        <v>Aug</v>
      </c>
    </row>
    <row r="658" spans="1:16" ht="12.5" x14ac:dyDescent="0.25">
      <c r="A658" s="1">
        <v>10757</v>
      </c>
      <c r="B658" s="1" t="s">
        <v>39</v>
      </c>
      <c r="C658" s="1" t="s">
        <v>40</v>
      </c>
      <c r="D658" t="s">
        <v>68</v>
      </c>
      <c r="E658" s="1">
        <v>80</v>
      </c>
      <c r="F658" s="1">
        <v>150</v>
      </c>
      <c r="G658" s="1">
        <v>939</v>
      </c>
      <c r="H658" s="1">
        <f>Int_breweries[[#This Row],[PLANT_COST]]*Int_breweries[[#This Row],[QUANTITY]]</f>
        <v>75120</v>
      </c>
      <c r="I658" s="1">
        <v>140850</v>
      </c>
      <c r="J658" s="1">
        <v>65730</v>
      </c>
      <c r="K658" s="1" t="s">
        <v>19</v>
      </c>
      <c r="L658" t="s">
        <v>15</v>
      </c>
      <c r="M658" s="1" t="s">
        <v>41</v>
      </c>
      <c r="N658" s="1">
        <v>2017</v>
      </c>
      <c r="O658" t="str" cm="1">
        <f t="array" ref="O658">_xlfn.IFS(OR($K658="Ghana", $K658="Nigeria"), "Anglophone", OR($K658="Togo", $K658="Benin", $K658="Senegal"), "Francophone")</f>
        <v>Anglophone</v>
      </c>
      <c r="P658" s="1" t="str">
        <f>LEFT(Int_breweries[[#This Row],[MONTHS]], 3)</f>
        <v>Sep</v>
      </c>
    </row>
    <row r="659" spans="1:16" ht="12.5" x14ac:dyDescent="0.25">
      <c r="A659" s="1">
        <v>10758</v>
      </c>
      <c r="B659" s="1" t="s">
        <v>26</v>
      </c>
      <c r="C659" s="1" t="s">
        <v>27</v>
      </c>
      <c r="D659" t="s">
        <v>69</v>
      </c>
      <c r="E659" s="1">
        <v>90</v>
      </c>
      <c r="F659" s="1">
        <v>150</v>
      </c>
      <c r="G659" s="1">
        <v>907</v>
      </c>
      <c r="H659" s="1">
        <f>Int_breweries[[#This Row],[PLANT_COST]]*Int_breweries[[#This Row],[QUANTITY]]</f>
        <v>81630</v>
      </c>
      <c r="I659" s="1">
        <v>136050</v>
      </c>
      <c r="J659" s="1">
        <v>54420</v>
      </c>
      <c r="K659" s="1" t="s">
        <v>24</v>
      </c>
      <c r="L659" t="s">
        <v>58</v>
      </c>
      <c r="M659" s="1" t="s">
        <v>44</v>
      </c>
      <c r="N659" s="1">
        <v>2019</v>
      </c>
      <c r="O659" t="str" cm="1">
        <f t="array" ref="O659">_xlfn.IFS(OR($K659="Ghana", $K659="Nigeria"), "Anglophone", OR($K659="Togo", $K659="Benin", $K659="Senegal"), "Francophone")</f>
        <v>Francophone</v>
      </c>
      <c r="P659" s="1" t="str">
        <f>LEFT(Int_breweries[[#This Row],[MONTHS]], 3)</f>
        <v>Oct</v>
      </c>
    </row>
    <row r="660" spans="1:16" ht="12.5" x14ac:dyDescent="0.25">
      <c r="A660" s="1">
        <v>10759</v>
      </c>
      <c r="B660" s="1" t="s">
        <v>45</v>
      </c>
      <c r="C660" s="1" t="s">
        <v>46</v>
      </c>
      <c r="D660" t="s">
        <v>63</v>
      </c>
      <c r="E660" s="1">
        <v>150</v>
      </c>
      <c r="F660" s="1">
        <v>200</v>
      </c>
      <c r="G660" s="1">
        <v>709</v>
      </c>
      <c r="H660" s="1">
        <f>Int_breweries[[#This Row],[PLANT_COST]]*Int_breweries[[#This Row],[QUANTITY]]</f>
        <v>106350</v>
      </c>
      <c r="I660" s="1">
        <v>141800</v>
      </c>
      <c r="J660" s="1">
        <v>35450</v>
      </c>
      <c r="K660" s="1" t="s">
        <v>28</v>
      </c>
      <c r="L660" t="s">
        <v>59</v>
      </c>
      <c r="M660" s="1" t="s">
        <v>47</v>
      </c>
      <c r="N660" s="1">
        <v>2019</v>
      </c>
      <c r="O660" t="str" cm="1">
        <f t="array" ref="O660">_xlfn.IFS(OR($K660="Ghana", $K660="Nigeria"), "Anglophone", OR($K660="Togo", $K660="Benin", $K660="Senegal"), "Francophone")</f>
        <v>Francophone</v>
      </c>
      <c r="P660" s="1" t="str">
        <f>LEFT(Int_breweries[[#This Row],[MONTHS]], 3)</f>
        <v>Nov</v>
      </c>
    </row>
    <row r="661" spans="1:16" ht="12.5" x14ac:dyDescent="0.25">
      <c r="A661" s="1">
        <v>10760</v>
      </c>
      <c r="B661" s="1" t="s">
        <v>51</v>
      </c>
      <c r="C661" s="1" t="s">
        <v>52</v>
      </c>
      <c r="D661" t="s">
        <v>64</v>
      </c>
      <c r="E661" s="1">
        <v>250</v>
      </c>
      <c r="F661" s="1">
        <v>500</v>
      </c>
      <c r="G661" s="1">
        <v>886</v>
      </c>
      <c r="H661" s="1">
        <f>Int_breweries[[#This Row],[PLANT_COST]]*Int_breweries[[#This Row],[QUANTITY]]</f>
        <v>221500</v>
      </c>
      <c r="I661" s="1">
        <v>443000</v>
      </c>
      <c r="J661" s="1">
        <v>221500</v>
      </c>
      <c r="K661" s="1" t="s">
        <v>32</v>
      </c>
      <c r="L661" t="s">
        <v>60</v>
      </c>
      <c r="M661" s="1" t="s">
        <v>48</v>
      </c>
      <c r="N661" s="1">
        <v>2017</v>
      </c>
      <c r="O661" t="str" cm="1">
        <f t="array" ref="O661">_xlfn.IFS(OR($K661="Ghana", $K661="Nigeria"), "Anglophone", OR($K661="Togo", $K661="Benin", $K661="Senegal"), "Francophone")</f>
        <v>Francophone</v>
      </c>
      <c r="P661" s="1" t="str">
        <f>LEFT(Int_breweries[[#This Row],[MONTHS]], 3)</f>
        <v>Dec</v>
      </c>
    </row>
    <row r="662" spans="1:16" ht="12.5" x14ac:dyDescent="0.25">
      <c r="A662" s="1">
        <v>10761</v>
      </c>
      <c r="B662" s="1" t="s">
        <v>49</v>
      </c>
      <c r="C662" s="1" t="s">
        <v>50</v>
      </c>
      <c r="D662" t="s">
        <v>65</v>
      </c>
      <c r="E662" s="1">
        <v>180</v>
      </c>
      <c r="F662" s="1">
        <v>450</v>
      </c>
      <c r="G662" s="1">
        <v>828</v>
      </c>
      <c r="H662" s="1">
        <f>Int_breweries[[#This Row],[PLANT_COST]]*Int_breweries[[#This Row],[QUANTITY]]</f>
        <v>149040</v>
      </c>
      <c r="I662" s="1">
        <v>372600</v>
      </c>
      <c r="J662" s="1">
        <v>223560</v>
      </c>
      <c r="K662" s="1" t="s">
        <v>14</v>
      </c>
      <c r="L662" t="s">
        <v>61</v>
      </c>
      <c r="M662" s="1" t="s">
        <v>16</v>
      </c>
      <c r="N662" s="1">
        <v>2017</v>
      </c>
      <c r="O662" t="str" cm="1">
        <f t="array" ref="O662">_xlfn.IFS(OR($K662="Ghana", $K662="Nigeria"), "Anglophone", OR($K662="Togo", $K662="Benin", $K662="Senegal"), "Francophone")</f>
        <v>Anglophone</v>
      </c>
      <c r="P662" s="1" t="str">
        <f>LEFT(Int_breweries[[#This Row],[MONTHS]], 3)</f>
        <v>Jan</v>
      </c>
    </row>
    <row r="663" spans="1:16" ht="12.5" x14ac:dyDescent="0.25">
      <c r="A663" s="1">
        <v>10762</v>
      </c>
      <c r="B663" s="1" t="s">
        <v>45</v>
      </c>
      <c r="C663" s="1" t="s">
        <v>46</v>
      </c>
      <c r="D663" t="s">
        <v>66</v>
      </c>
      <c r="E663" s="1">
        <v>170</v>
      </c>
      <c r="F663" s="1">
        <v>250</v>
      </c>
      <c r="G663" s="1">
        <v>700</v>
      </c>
      <c r="H663" s="1">
        <f>Int_breweries[[#This Row],[PLANT_COST]]*Int_breweries[[#This Row],[QUANTITY]]</f>
        <v>119000</v>
      </c>
      <c r="I663" s="1">
        <v>175000</v>
      </c>
      <c r="J663" s="1">
        <v>56000</v>
      </c>
      <c r="K663" s="1" t="s">
        <v>19</v>
      </c>
      <c r="L663" t="s">
        <v>62</v>
      </c>
      <c r="M663" s="1" t="s">
        <v>21</v>
      </c>
      <c r="N663" s="1">
        <v>2019</v>
      </c>
      <c r="O663" t="str" cm="1">
        <f t="array" ref="O663">_xlfn.IFS(OR($K663="Ghana", $K663="Nigeria"), "Anglophone", OR($K663="Togo", $K663="Benin", $K663="Senegal"), "Francophone")</f>
        <v>Anglophone</v>
      </c>
      <c r="P663" s="1" t="str">
        <f>LEFT(Int_breweries[[#This Row],[MONTHS]], 3)</f>
        <v>Feb</v>
      </c>
    </row>
    <row r="664" spans="1:16" ht="12.5" x14ac:dyDescent="0.25">
      <c r="A664" s="1">
        <v>10763</v>
      </c>
      <c r="B664" s="1" t="s">
        <v>17</v>
      </c>
      <c r="C664" s="1" t="s">
        <v>18</v>
      </c>
      <c r="D664" t="s">
        <v>67</v>
      </c>
      <c r="E664" s="1">
        <v>150</v>
      </c>
      <c r="F664" s="1">
        <v>200</v>
      </c>
      <c r="G664" s="1">
        <v>928</v>
      </c>
      <c r="H664" s="1">
        <f>Int_breweries[[#This Row],[PLANT_COST]]*Int_breweries[[#This Row],[QUANTITY]]</f>
        <v>139200</v>
      </c>
      <c r="I664" s="1">
        <v>185600</v>
      </c>
      <c r="J664" s="1">
        <v>46400</v>
      </c>
      <c r="K664" s="1" t="s">
        <v>24</v>
      </c>
      <c r="L664" t="s">
        <v>15</v>
      </c>
      <c r="M664" s="1" t="s">
        <v>25</v>
      </c>
      <c r="N664" s="1">
        <v>2018</v>
      </c>
      <c r="O664" t="str" cm="1">
        <f t="array" ref="O664">_xlfn.IFS(OR($K664="Ghana", $K664="Nigeria"), "Anglophone", OR($K664="Togo", $K664="Benin", $K664="Senegal"), "Francophone")</f>
        <v>Francophone</v>
      </c>
      <c r="P664" s="1" t="str">
        <f>LEFT(Int_breweries[[#This Row],[MONTHS]], 3)</f>
        <v>Mar</v>
      </c>
    </row>
    <row r="665" spans="1:16" ht="12.5" x14ac:dyDescent="0.25">
      <c r="A665" s="1">
        <v>10764</v>
      </c>
      <c r="B665" s="1" t="s">
        <v>49</v>
      </c>
      <c r="C665" s="1" t="s">
        <v>50</v>
      </c>
      <c r="D665" t="s">
        <v>68</v>
      </c>
      <c r="E665" s="1">
        <v>80</v>
      </c>
      <c r="F665" s="1">
        <v>150</v>
      </c>
      <c r="G665" s="1">
        <v>737</v>
      </c>
      <c r="H665" s="1">
        <f>Int_breweries[[#This Row],[PLANT_COST]]*Int_breweries[[#This Row],[QUANTITY]]</f>
        <v>58960</v>
      </c>
      <c r="I665" s="1">
        <v>110550</v>
      </c>
      <c r="J665" s="1">
        <v>51590</v>
      </c>
      <c r="K665" s="1" t="s">
        <v>28</v>
      </c>
      <c r="L665" t="s">
        <v>58</v>
      </c>
      <c r="M665" s="1" t="s">
        <v>29</v>
      </c>
      <c r="N665" s="1">
        <v>2018</v>
      </c>
      <c r="O665" t="str" cm="1">
        <f t="array" ref="O665">_xlfn.IFS(OR($K665="Ghana", $K665="Nigeria"), "Anglophone", OR($K665="Togo", $K665="Benin", $K665="Senegal"), "Francophone")</f>
        <v>Francophone</v>
      </c>
      <c r="P665" s="1" t="str">
        <f>LEFT(Int_breweries[[#This Row],[MONTHS]], 3)</f>
        <v>Apr</v>
      </c>
    </row>
    <row r="666" spans="1:16" ht="12.5" x14ac:dyDescent="0.25">
      <c r="A666" s="1">
        <v>10765</v>
      </c>
      <c r="B666" s="1" t="s">
        <v>26</v>
      </c>
      <c r="C666" s="1" t="s">
        <v>27</v>
      </c>
      <c r="D666" t="s">
        <v>69</v>
      </c>
      <c r="E666" s="1">
        <v>90</v>
      </c>
      <c r="F666" s="1">
        <v>150</v>
      </c>
      <c r="G666" s="1">
        <v>986</v>
      </c>
      <c r="H666" s="1">
        <f>Int_breweries[[#This Row],[PLANT_COST]]*Int_breweries[[#This Row],[QUANTITY]]</f>
        <v>88740</v>
      </c>
      <c r="I666" s="1">
        <v>147900</v>
      </c>
      <c r="J666" s="1">
        <v>59160</v>
      </c>
      <c r="K666" s="1" t="s">
        <v>32</v>
      </c>
      <c r="L666" t="s">
        <v>59</v>
      </c>
      <c r="M666" s="1" t="s">
        <v>33</v>
      </c>
      <c r="N666" s="1">
        <v>2019</v>
      </c>
      <c r="O666" t="str" cm="1">
        <f t="array" ref="O666">_xlfn.IFS(OR($K666="Ghana", $K666="Nigeria"), "Anglophone", OR($K666="Togo", $K666="Benin", $K666="Senegal"), "Francophone")</f>
        <v>Francophone</v>
      </c>
      <c r="P666" s="1" t="str">
        <f>LEFT(Int_breweries[[#This Row],[MONTHS]], 3)</f>
        <v>May</v>
      </c>
    </row>
    <row r="667" spans="1:16" ht="12.5" x14ac:dyDescent="0.25">
      <c r="A667" s="1">
        <v>10766</v>
      </c>
      <c r="B667" s="1" t="s">
        <v>22</v>
      </c>
      <c r="C667" s="1" t="s">
        <v>23</v>
      </c>
      <c r="D667" t="s">
        <v>63</v>
      </c>
      <c r="E667" s="1">
        <v>150</v>
      </c>
      <c r="F667" s="1">
        <v>200</v>
      </c>
      <c r="G667" s="1">
        <v>733</v>
      </c>
      <c r="H667" s="1">
        <f>Int_breweries[[#This Row],[PLANT_COST]]*Int_breweries[[#This Row],[QUANTITY]]</f>
        <v>109950</v>
      </c>
      <c r="I667" s="1">
        <v>146600</v>
      </c>
      <c r="J667" s="1">
        <v>36650</v>
      </c>
      <c r="K667" s="1" t="s">
        <v>14</v>
      </c>
      <c r="L667" t="s">
        <v>60</v>
      </c>
      <c r="M667" s="1" t="s">
        <v>34</v>
      </c>
      <c r="N667" s="1">
        <v>2018</v>
      </c>
      <c r="O667" t="str" cm="1">
        <f t="array" ref="O667">_xlfn.IFS(OR($K667="Ghana", $K667="Nigeria"), "Anglophone", OR($K667="Togo", $K667="Benin", $K667="Senegal"), "Francophone")</f>
        <v>Anglophone</v>
      </c>
      <c r="P667" s="1" t="str">
        <f>LEFT(Int_breweries[[#This Row],[MONTHS]], 3)</f>
        <v>Jun</v>
      </c>
    </row>
    <row r="668" spans="1:16" ht="12.5" x14ac:dyDescent="0.25">
      <c r="A668" s="1">
        <v>10767</v>
      </c>
      <c r="B668" s="1" t="s">
        <v>12</v>
      </c>
      <c r="C668" s="1" t="s">
        <v>13</v>
      </c>
      <c r="D668" t="s">
        <v>64</v>
      </c>
      <c r="E668" s="1">
        <v>250</v>
      </c>
      <c r="F668" s="1">
        <v>500</v>
      </c>
      <c r="G668" s="1">
        <v>769</v>
      </c>
      <c r="H668" s="1">
        <f>Int_breweries[[#This Row],[PLANT_COST]]*Int_breweries[[#This Row],[QUANTITY]]</f>
        <v>192250</v>
      </c>
      <c r="I668" s="1">
        <v>384500</v>
      </c>
      <c r="J668" s="1">
        <v>192250</v>
      </c>
      <c r="K668" s="1" t="s">
        <v>19</v>
      </c>
      <c r="L668" t="s">
        <v>61</v>
      </c>
      <c r="M668" s="1" t="s">
        <v>37</v>
      </c>
      <c r="N668" s="1">
        <v>2017</v>
      </c>
      <c r="O668" t="str" cm="1">
        <f t="array" ref="O668">_xlfn.IFS(OR($K668="Ghana", $K668="Nigeria"), "Anglophone", OR($K668="Togo", $K668="Benin", $K668="Senegal"), "Francophone")</f>
        <v>Anglophone</v>
      </c>
      <c r="P668" s="1" t="str">
        <f>LEFT(Int_breweries[[#This Row],[MONTHS]], 3)</f>
        <v>Jul</v>
      </c>
    </row>
    <row r="669" spans="1:16" ht="12.5" x14ac:dyDescent="0.25">
      <c r="A669" s="1">
        <v>10768</v>
      </c>
      <c r="B669" s="1" t="s">
        <v>30</v>
      </c>
      <c r="C669" s="1" t="s">
        <v>31</v>
      </c>
      <c r="D669" t="s">
        <v>65</v>
      </c>
      <c r="E669" s="1">
        <v>180</v>
      </c>
      <c r="F669" s="1">
        <v>450</v>
      </c>
      <c r="G669" s="1">
        <v>782</v>
      </c>
      <c r="H669" s="1">
        <f>Int_breweries[[#This Row],[PLANT_COST]]*Int_breweries[[#This Row],[QUANTITY]]</f>
        <v>140760</v>
      </c>
      <c r="I669" s="1">
        <v>351900</v>
      </c>
      <c r="J669" s="1">
        <v>211140</v>
      </c>
      <c r="K669" s="1" t="s">
        <v>24</v>
      </c>
      <c r="L669" t="s">
        <v>62</v>
      </c>
      <c r="M669" s="1" t="s">
        <v>38</v>
      </c>
      <c r="N669" s="1">
        <v>2017</v>
      </c>
      <c r="O669" t="str" cm="1">
        <f t="array" ref="O669">_xlfn.IFS(OR($K669="Ghana", $K669="Nigeria"), "Anglophone", OR($K669="Togo", $K669="Benin", $K669="Senegal"), "Francophone")</f>
        <v>Francophone</v>
      </c>
      <c r="P669" s="1" t="str">
        <f>LEFT(Int_breweries[[#This Row],[MONTHS]], 3)</f>
        <v>Aug</v>
      </c>
    </row>
    <row r="670" spans="1:16" ht="12.5" x14ac:dyDescent="0.25">
      <c r="A670" s="1">
        <v>10769</v>
      </c>
      <c r="B670" s="1" t="s">
        <v>42</v>
      </c>
      <c r="C670" s="1" t="s">
        <v>43</v>
      </c>
      <c r="D670" t="s">
        <v>66</v>
      </c>
      <c r="E670" s="1">
        <v>170</v>
      </c>
      <c r="F670" s="1">
        <v>250</v>
      </c>
      <c r="G670" s="1">
        <v>755</v>
      </c>
      <c r="H670" s="1">
        <f>Int_breweries[[#This Row],[PLANT_COST]]*Int_breweries[[#This Row],[QUANTITY]]</f>
        <v>128350</v>
      </c>
      <c r="I670" s="1">
        <v>188750</v>
      </c>
      <c r="J670" s="1">
        <v>60400</v>
      </c>
      <c r="K670" s="1" t="s">
        <v>28</v>
      </c>
      <c r="L670" t="s">
        <v>15</v>
      </c>
      <c r="M670" s="1" t="s">
        <v>41</v>
      </c>
      <c r="N670" s="1">
        <v>2017</v>
      </c>
      <c r="O670" t="str" cm="1">
        <f t="array" ref="O670">_xlfn.IFS(OR($K670="Ghana", $K670="Nigeria"), "Anglophone", OR($K670="Togo", $K670="Benin", $K670="Senegal"), "Francophone")</f>
        <v>Francophone</v>
      </c>
      <c r="P670" s="1" t="str">
        <f>LEFT(Int_breweries[[#This Row],[MONTHS]], 3)</f>
        <v>Sep</v>
      </c>
    </row>
    <row r="671" spans="1:16" ht="12.5" x14ac:dyDescent="0.25">
      <c r="A671" s="1">
        <v>10770</v>
      </c>
      <c r="B671" s="1" t="s">
        <v>17</v>
      </c>
      <c r="C671" s="1" t="s">
        <v>18</v>
      </c>
      <c r="D671" t="s">
        <v>67</v>
      </c>
      <c r="E671" s="1">
        <v>150</v>
      </c>
      <c r="F671" s="1">
        <v>200</v>
      </c>
      <c r="G671" s="1">
        <v>980</v>
      </c>
      <c r="H671" s="1">
        <f>Int_breweries[[#This Row],[PLANT_COST]]*Int_breweries[[#This Row],[QUANTITY]]</f>
        <v>147000</v>
      </c>
      <c r="I671" s="1">
        <v>196000</v>
      </c>
      <c r="J671" s="1">
        <v>49000</v>
      </c>
      <c r="K671" s="1" t="s">
        <v>32</v>
      </c>
      <c r="L671" t="s">
        <v>58</v>
      </c>
      <c r="M671" s="1" t="s">
        <v>44</v>
      </c>
      <c r="N671" s="1">
        <v>2019</v>
      </c>
      <c r="O671" t="str" cm="1">
        <f t="array" ref="O671">_xlfn.IFS(OR($K671="Ghana", $K671="Nigeria"), "Anglophone", OR($K671="Togo", $K671="Benin", $K671="Senegal"), "Francophone")</f>
        <v>Francophone</v>
      </c>
      <c r="P671" s="1" t="str">
        <f>LEFT(Int_breweries[[#This Row],[MONTHS]], 3)</f>
        <v>Oct</v>
      </c>
    </row>
    <row r="672" spans="1:16" ht="12.5" x14ac:dyDescent="0.25">
      <c r="A672" s="1">
        <v>10771</v>
      </c>
      <c r="B672" s="1" t="s">
        <v>17</v>
      </c>
      <c r="C672" s="1" t="s">
        <v>18</v>
      </c>
      <c r="D672" t="s">
        <v>68</v>
      </c>
      <c r="E672" s="1">
        <v>80</v>
      </c>
      <c r="F672" s="1">
        <v>150</v>
      </c>
      <c r="G672" s="1">
        <v>755</v>
      </c>
      <c r="H672" s="1">
        <f>Int_breweries[[#This Row],[PLANT_COST]]*Int_breweries[[#This Row],[QUANTITY]]</f>
        <v>60400</v>
      </c>
      <c r="I672" s="1">
        <v>113250</v>
      </c>
      <c r="J672" s="1">
        <v>52850</v>
      </c>
      <c r="K672" s="1" t="s">
        <v>14</v>
      </c>
      <c r="L672" t="s">
        <v>59</v>
      </c>
      <c r="M672" s="1" t="s">
        <v>47</v>
      </c>
      <c r="N672" s="1">
        <v>2019</v>
      </c>
      <c r="O672" t="str" cm="1">
        <f t="array" ref="O672">_xlfn.IFS(OR($K672="Ghana", $K672="Nigeria"), "Anglophone", OR($K672="Togo", $K672="Benin", $K672="Senegal"), "Francophone")</f>
        <v>Anglophone</v>
      </c>
      <c r="P672" s="1" t="str">
        <f>LEFT(Int_breweries[[#This Row],[MONTHS]], 3)</f>
        <v>Nov</v>
      </c>
    </row>
    <row r="673" spans="1:16" ht="12.5" x14ac:dyDescent="0.25">
      <c r="A673" s="1">
        <v>10772</v>
      </c>
      <c r="B673" s="1" t="s">
        <v>51</v>
      </c>
      <c r="C673" s="1" t="s">
        <v>52</v>
      </c>
      <c r="D673" t="s">
        <v>69</v>
      </c>
      <c r="E673" s="1">
        <v>90</v>
      </c>
      <c r="F673" s="1">
        <v>150</v>
      </c>
      <c r="G673" s="1">
        <v>804</v>
      </c>
      <c r="H673" s="1">
        <f>Int_breweries[[#This Row],[PLANT_COST]]*Int_breweries[[#This Row],[QUANTITY]]</f>
        <v>72360</v>
      </c>
      <c r="I673" s="1">
        <v>120600</v>
      </c>
      <c r="J673" s="1">
        <v>48240</v>
      </c>
      <c r="K673" s="1" t="s">
        <v>19</v>
      </c>
      <c r="L673" t="s">
        <v>60</v>
      </c>
      <c r="M673" s="1" t="s">
        <v>48</v>
      </c>
      <c r="N673" s="1">
        <v>2019</v>
      </c>
      <c r="O673" t="str" cm="1">
        <f t="array" ref="O673">_xlfn.IFS(OR($K673="Ghana", $K673="Nigeria"), "Anglophone", OR($K673="Togo", $K673="Benin", $K673="Senegal"), "Francophone")</f>
        <v>Anglophone</v>
      </c>
      <c r="P673" s="1" t="str">
        <f>LEFT(Int_breweries[[#This Row],[MONTHS]], 3)</f>
        <v>Dec</v>
      </c>
    </row>
    <row r="674" spans="1:16" ht="12.5" x14ac:dyDescent="0.25">
      <c r="A674" s="1">
        <v>10773</v>
      </c>
      <c r="B674" s="1" t="s">
        <v>26</v>
      </c>
      <c r="C674" s="1" t="s">
        <v>27</v>
      </c>
      <c r="D674" t="s">
        <v>63</v>
      </c>
      <c r="E674" s="1">
        <v>150</v>
      </c>
      <c r="F674" s="1">
        <v>200</v>
      </c>
      <c r="G674" s="1">
        <v>821</v>
      </c>
      <c r="H674" s="1">
        <f>Int_breweries[[#This Row],[PLANT_COST]]*Int_breweries[[#This Row],[QUANTITY]]</f>
        <v>123150</v>
      </c>
      <c r="I674" s="1">
        <v>164200</v>
      </c>
      <c r="J674" s="1">
        <v>41050</v>
      </c>
      <c r="K674" s="1" t="s">
        <v>24</v>
      </c>
      <c r="L674" t="s">
        <v>61</v>
      </c>
      <c r="M674" s="1" t="s">
        <v>16</v>
      </c>
      <c r="N674" s="1">
        <v>2017</v>
      </c>
      <c r="O674" t="str" cm="1">
        <f t="array" ref="O674">_xlfn.IFS(OR($K674="Ghana", $K674="Nigeria"), "Anglophone", OR($K674="Togo", $K674="Benin", $K674="Senegal"), "Francophone")</f>
        <v>Francophone</v>
      </c>
      <c r="P674" s="1" t="str">
        <f>LEFT(Int_breweries[[#This Row],[MONTHS]], 3)</f>
        <v>Jan</v>
      </c>
    </row>
    <row r="675" spans="1:16" ht="12.5" x14ac:dyDescent="0.25">
      <c r="A675" s="1">
        <v>10774</v>
      </c>
      <c r="B675" s="1" t="s">
        <v>39</v>
      </c>
      <c r="C675" s="1" t="s">
        <v>40</v>
      </c>
      <c r="D675" t="s">
        <v>64</v>
      </c>
      <c r="E675" s="1">
        <v>250</v>
      </c>
      <c r="F675" s="1">
        <v>500</v>
      </c>
      <c r="G675" s="1">
        <v>768</v>
      </c>
      <c r="H675" s="1">
        <f>Int_breweries[[#This Row],[PLANT_COST]]*Int_breweries[[#This Row],[QUANTITY]]</f>
        <v>192000</v>
      </c>
      <c r="I675" s="1">
        <v>384000</v>
      </c>
      <c r="J675" s="1">
        <v>192000</v>
      </c>
      <c r="K675" s="1" t="s">
        <v>28</v>
      </c>
      <c r="L675" t="s">
        <v>62</v>
      </c>
      <c r="M675" s="1" t="s">
        <v>21</v>
      </c>
      <c r="N675" s="1">
        <v>2017</v>
      </c>
      <c r="O675" t="str" cm="1">
        <f t="array" ref="O675">_xlfn.IFS(OR($K675="Ghana", $K675="Nigeria"), "Anglophone", OR($K675="Togo", $K675="Benin", $K675="Senegal"), "Francophone")</f>
        <v>Francophone</v>
      </c>
      <c r="P675" s="1" t="str">
        <f>LEFT(Int_breweries[[#This Row],[MONTHS]], 3)</f>
        <v>Feb</v>
      </c>
    </row>
    <row r="676" spans="1:16" ht="12.5" x14ac:dyDescent="0.25">
      <c r="A676" s="1">
        <v>10775</v>
      </c>
      <c r="B676" s="1" t="s">
        <v>51</v>
      </c>
      <c r="C676" s="1" t="s">
        <v>52</v>
      </c>
      <c r="D676" t="s">
        <v>65</v>
      </c>
      <c r="E676" s="1">
        <v>180</v>
      </c>
      <c r="F676" s="1">
        <v>450</v>
      </c>
      <c r="G676" s="1">
        <v>929</v>
      </c>
      <c r="H676" s="1">
        <f>Int_breweries[[#This Row],[PLANT_COST]]*Int_breweries[[#This Row],[QUANTITY]]</f>
        <v>167220</v>
      </c>
      <c r="I676" s="1">
        <v>418050</v>
      </c>
      <c r="J676" s="1">
        <v>250830</v>
      </c>
      <c r="K676" s="1" t="s">
        <v>32</v>
      </c>
      <c r="L676" t="s">
        <v>15</v>
      </c>
      <c r="M676" s="1" t="s">
        <v>25</v>
      </c>
      <c r="N676" s="1">
        <v>2019</v>
      </c>
      <c r="O676" t="str" cm="1">
        <f t="array" ref="O676">_xlfn.IFS(OR($K676="Ghana", $K676="Nigeria"), "Anglophone", OR($K676="Togo", $K676="Benin", $K676="Senegal"), "Francophone")</f>
        <v>Francophone</v>
      </c>
      <c r="P676" s="1" t="str">
        <f>LEFT(Int_breweries[[#This Row],[MONTHS]], 3)</f>
        <v>Mar</v>
      </c>
    </row>
    <row r="677" spans="1:16" ht="12.5" x14ac:dyDescent="0.25">
      <c r="A677" s="1">
        <v>10776</v>
      </c>
      <c r="B677" s="1" t="s">
        <v>22</v>
      </c>
      <c r="C677" s="1" t="s">
        <v>23</v>
      </c>
      <c r="D677" t="s">
        <v>66</v>
      </c>
      <c r="E677" s="1">
        <v>170</v>
      </c>
      <c r="F677" s="1">
        <v>250</v>
      </c>
      <c r="G677" s="1">
        <v>938</v>
      </c>
      <c r="H677" s="1">
        <f>Int_breweries[[#This Row],[PLANT_COST]]*Int_breweries[[#This Row],[QUANTITY]]</f>
        <v>159460</v>
      </c>
      <c r="I677" s="1">
        <v>234500</v>
      </c>
      <c r="J677" s="1">
        <v>75040</v>
      </c>
      <c r="K677" s="1" t="s">
        <v>14</v>
      </c>
      <c r="L677" t="s">
        <v>58</v>
      </c>
      <c r="M677" s="1" t="s">
        <v>29</v>
      </c>
      <c r="N677" s="1">
        <v>2018</v>
      </c>
      <c r="O677" t="str" cm="1">
        <f t="array" ref="O677">_xlfn.IFS(OR($K677="Ghana", $K677="Nigeria"), "Anglophone", OR($K677="Togo", $K677="Benin", $K677="Senegal"), "Francophone")</f>
        <v>Anglophone</v>
      </c>
      <c r="P677" s="1" t="str">
        <f>LEFT(Int_breweries[[#This Row],[MONTHS]], 3)</f>
        <v>Apr</v>
      </c>
    </row>
    <row r="678" spans="1:16" ht="12.5" x14ac:dyDescent="0.25">
      <c r="A678" s="1">
        <v>10777</v>
      </c>
      <c r="B678" s="1" t="s">
        <v>17</v>
      </c>
      <c r="C678" s="1" t="s">
        <v>18</v>
      </c>
      <c r="D678" t="s">
        <v>67</v>
      </c>
      <c r="E678" s="1">
        <v>150</v>
      </c>
      <c r="F678" s="1">
        <v>200</v>
      </c>
      <c r="G678" s="1">
        <v>776</v>
      </c>
      <c r="H678" s="1">
        <f>Int_breweries[[#This Row],[PLANT_COST]]*Int_breweries[[#This Row],[QUANTITY]]</f>
        <v>116400</v>
      </c>
      <c r="I678" s="1">
        <v>155200</v>
      </c>
      <c r="J678" s="1">
        <v>38800</v>
      </c>
      <c r="K678" s="1" t="s">
        <v>19</v>
      </c>
      <c r="L678" t="s">
        <v>59</v>
      </c>
      <c r="M678" s="1" t="s">
        <v>33</v>
      </c>
      <c r="N678" s="1">
        <v>2018</v>
      </c>
      <c r="O678" t="str" cm="1">
        <f t="array" ref="O678">_xlfn.IFS(OR($K678="Ghana", $K678="Nigeria"), "Anglophone", OR($K678="Togo", $K678="Benin", $K678="Senegal"), "Francophone")</f>
        <v>Anglophone</v>
      </c>
      <c r="P678" s="1" t="str">
        <f>LEFT(Int_breweries[[#This Row],[MONTHS]], 3)</f>
        <v>May</v>
      </c>
    </row>
    <row r="679" spans="1:16" ht="12.5" x14ac:dyDescent="0.25">
      <c r="A679" s="1">
        <v>10778</v>
      </c>
      <c r="B679" s="1" t="s">
        <v>22</v>
      </c>
      <c r="C679" s="1" t="s">
        <v>23</v>
      </c>
      <c r="D679" t="s">
        <v>68</v>
      </c>
      <c r="E679" s="1">
        <v>80</v>
      </c>
      <c r="F679" s="1">
        <v>150</v>
      </c>
      <c r="G679" s="1">
        <v>830</v>
      </c>
      <c r="H679" s="1">
        <f>Int_breweries[[#This Row],[PLANT_COST]]*Int_breweries[[#This Row],[QUANTITY]]</f>
        <v>66400</v>
      </c>
      <c r="I679" s="1">
        <v>124500</v>
      </c>
      <c r="J679" s="1">
        <v>58100</v>
      </c>
      <c r="K679" s="1" t="s">
        <v>24</v>
      </c>
      <c r="L679" t="s">
        <v>60</v>
      </c>
      <c r="M679" s="1" t="s">
        <v>34</v>
      </c>
      <c r="N679" s="1">
        <v>2018</v>
      </c>
      <c r="O679" t="str" cm="1">
        <f t="array" ref="O679">_xlfn.IFS(OR($K679="Ghana", $K679="Nigeria"), "Anglophone", OR($K679="Togo", $K679="Benin", $K679="Senegal"), "Francophone")</f>
        <v>Francophone</v>
      </c>
      <c r="P679" s="1" t="str">
        <f>LEFT(Int_breweries[[#This Row],[MONTHS]], 3)</f>
        <v>Jun</v>
      </c>
    </row>
    <row r="680" spans="1:16" ht="12.5" x14ac:dyDescent="0.25">
      <c r="A680" s="1">
        <v>10779</v>
      </c>
      <c r="B680" s="1" t="s">
        <v>35</v>
      </c>
      <c r="C680" s="1" t="s">
        <v>36</v>
      </c>
      <c r="D680" t="s">
        <v>69</v>
      </c>
      <c r="E680" s="1">
        <v>90</v>
      </c>
      <c r="F680" s="1">
        <v>150</v>
      </c>
      <c r="G680" s="1">
        <v>881</v>
      </c>
      <c r="H680" s="1">
        <f>Int_breweries[[#This Row],[PLANT_COST]]*Int_breweries[[#This Row],[QUANTITY]]</f>
        <v>79290</v>
      </c>
      <c r="I680" s="1">
        <v>132150</v>
      </c>
      <c r="J680" s="1">
        <v>52860</v>
      </c>
      <c r="K680" s="1" t="s">
        <v>28</v>
      </c>
      <c r="L680" t="s">
        <v>61</v>
      </c>
      <c r="M680" s="1" t="s">
        <v>37</v>
      </c>
      <c r="N680" s="1">
        <v>2017</v>
      </c>
      <c r="O680" t="str" cm="1">
        <f t="array" ref="O680">_xlfn.IFS(OR($K680="Ghana", $K680="Nigeria"), "Anglophone", OR($K680="Togo", $K680="Benin", $K680="Senegal"), "Francophone")</f>
        <v>Francophone</v>
      </c>
      <c r="P680" s="1" t="str">
        <f>LEFT(Int_breweries[[#This Row],[MONTHS]], 3)</f>
        <v>Jul</v>
      </c>
    </row>
    <row r="681" spans="1:16" ht="12.5" x14ac:dyDescent="0.25">
      <c r="A681" s="1">
        <v>10780</v>
      </c>
      <c r="B681" s="1" t="s">
        <v>30</v>
      </c>
      <c r="C681" s="1" t="s">
        <v>31</v>
      </c>
      <c r="D681" t="s">
        <v>63</v>
      </c>
      <c r="E681" s="1">
        <v>150</v>
      </c>
      <c r="F681" s="1">
        <v>200</v>
      </c>
      <c r="G681" s="1">
        <v>854</v>
      </c>
      <c r="H681" s="1">
        <f>Int_breweries[[#This Row],[PLANT_COST]]*Int_breweries[[#This Row],[QUANTITY]]</f>
        <v>128100</v>
      </c>
      <c r="I681" s="1">
        <v>170800</v>
      </c>
      <c r="J681" s="1">
        <v>42700</v>
      </c>
      <c r="K681" s="1" t="s">
        <v>32</v>
      </c>
      <c r="L681" t="s">
        <v>62</v>
      </c>
      <c r="M681" s="1" t="s">
        <v>38</v>
      </c>
      <c r="N681" s="1">
        <v>2019</v>
      </c>
      <c r="O681" t="str" cm="1">
        <f t="array" ref="O681">_xlfn.IFS(OR($K681="Ghana", $K681="Nigeria"), "Anglophone", OR($K681="Togo", $K681="Benin", $K681="Senegal"), "Francophone")</f>
        <v>Francophone</v>
      </c>
      <c r="P681" s="1" t="str">
        <f>LEFT(Int_breweries[[#This Row],[MONTHS]], 3)</f>
        <v>Aug</v>
      </c>
    </row>
    <row r="682" spans="1:16" ht="12.5" x14ac:dyDescent="0.25">
      <c r="A682" s="1">
        <v>10781</v>
      </c>
      <c r="B682" s="1" t="s">
        <v>12</v>
      </c>
      <c r="C682" s="1" t="s">
        <v>13</v>
      </c>
      <c r="D682" t="s">
        <v>64</v>
      </c>
      <c r="E682" s="1">
        <v>250</v>
      </c>
      <c r="F682" s="1">
        <v>500</v>
      </c>
      <c r="G682" s="1">
        <v>843</v>
      </c>
      <c r="H682" s="1">
        <f>Int_breweries[[#This Row],[PLANT_COST]]*Int_breweries[[#This Row],[QUANTITY]]</f>
        <v>210750</v>
      </c>
      <c r="I682" s="1">
        <v>421500</v>
      </c>
      <c r="J682" s="1">
        <v>210750</v>
      </c>
      <c r="K682" s="1" t="s">
        <v>14</v>
      </c>
      <c r="L682" t="s">
        <v>15</v>
      </c>
      <c r="M682" s="1" t="s">
        <v>41</v>
      </c>
      <c r="N682" s="1">
        <v>2017</v>
      </c>
      <c r="O682" t="str" cm="1">
        <f t="array" ref="O682">_xlfn.IFS(OR($K682="Ghana", $K682="Nigeria"), "Anglophone", OR($K682="Togo", $K682="Benin", $K682="Senegal"), "Francophone")</f>
        <v>Anglophone</v>
      </c>
      <c r="P682" s="1" t="str">
        <f>LEFT(Int_breweries[[#This Row],[MONTHS]], 3)</f>
        <v>Sep</v>
      </c>
    </row>
    <row r="683" spans="1:16" ht="12.5" x14ac:dyDescent="0.25">
      <c r="A683" s="1">
        <v>10782</v>
      </c>
      <c r="B683" s="1" t="s">
        <v>12</v>
      </c>
      <c r="C683" s="1" t="s">
        <v>13</v>
      </c>
      <c r="D683" t="s">
        <v>65</v>
      </c>
      <c r="E683" s="1">
        <v>180</v>
      </c>
      <c r="F683" s="1">
        <v>450</v>
      </c>
      <c r="G683" s="1">
        <v>927</v>
      </c>
      <c r="H683" s="1">
        <f>Int_breweries[[#This Row],[PLANT_COST]]*Int_breweries[[#This Row],[QUANTITY]]</f>
        <v>166860</v>
      </c>
      <c r="I683" s="1">
        <v>417150</v>
      </c>
      <c r="J683" s="1">
        <v>250290</v>
      </c>
      <c r="K683" s="1" t="s">
        <v>19</v>
      </c>
      <c r="L683" t="s">
        <v>58</v>
      </c>
      <c r="M683" s="1" t="s">
        <v>44</v>
      </c>
      <c r="N683" s="1">
        <v>2019</v>
      </c>
      <c r="O683" t="str" cm="1">
        <f t="array" ref="O683">_xlfn.IFS(OR($K683="Ghana", $K683="Nigeria"), "Anglophone", OR($K683="Togo", $K683="Benin", $K683="Senegal"), "Francophone")</f>
        <v>Anglophone</v>
      </c>
      <c r="P683" s="1" t="str">
        <f>LEFT(Int_breweries[[#This Row],[MONTHS]], 3)</f>
        <v>Oct</v>
      </c>
    </row>
    <row r="684" spans="1:16" ht="12.5" x14ac:dyDescent="0.25">
      <c r="A684" s="1">
        <v>10783</v>
      </c>
      <c r="B684" s="1" t="s">
        <v>30</v>
      </c>
      <c r="C684" s="1" t="s">
        <v>31</v>
      </c>
      <c r="D684" t="s">
        <v>66</v>
      </c>
      <c r="E684" s="1">
        <v>170</v>
      </c>
      <c r="F684" s="1">
        <v>250</v>
      </c>
      <c r="G684" s="1">
        <v>988</v>
      </c>
      <c r="H684" s="1">
        <f>Int_breweries[[#This Row],[PLANT_COST]]*Int_breweries[[#This Row],[QUANTITY]]</f>
        <v>167960</v>
      </c>
      <c r="I684" s="1">
        <v>247000</v>
      </c>
      <c r="J684" s="1">
        <v>79040</v>
      </c>
      <c r="K684" s="1" t="s">
        <v>24</v>
      </c>
      <c r="L684" t="s">
        <v>59</v>
      </c>
      <c r="M684" s="1" t="s">
        <v>47</v>
      </c>
      <c r="N684" s="1">
        <v>2019</v>
      </c>
      <c r="O684" t="str" cm="1">
        <f t="array" ref="O684">_xlfn.IFS(OR($K684="Ghana", $K684="Nigeria"), "Anglophone", OR($K684="Togo", $K684="Benin", $K684="Senegal"), "Francophone")</f>
        <v>Francophone</v>
      </c>
      <c r="P684" s="1" t="str">
        <f>LEFT(Int_breweries[[#This Row],[MONTHS]], 3)</f>
        <v>Nov</v>
      </c>
    </row>
    <row r="685" spans="1:16" ht="12.5" x14ac:dyDescent="0.25">
      <c r="A685" s="1">
        <v>10784</v>
      </c>
      <c r="B685" s="1" t="s">
        <v>12</v>
      </c>
      <c r="C685" s="1" t="s">
        <v>13</v>
      </c>
      <c r="D685" t="s">
        <v>67</v>
      </c>
      <c r="E685" s="1">
        <v>150</v>
      </c>
      <c r="F685" s="1">
        <v>200</v>
      </c>
      <c r="G685" s="1">
        <v>864</v>
      </c>
      <c r="H685" s="1">
        <f>Int_breweries[[#This Row],[PLANT_COST]]*Int_breweries[[#This Row],[QUANTITY]]</f>
        <v>129600</v>
      </c>
      <c r="I685" s="1">
        <v>172800</v>
      </c>
      <c r="J685" s="1">
        <v>43200</v>
      </c>
      <c r="K685" s="1" t="s">
        <v>28</v>
      </c>
      <c r="L685" t="s">
        <v>60</v>
      </c>
      <c r="M685" s="1" t="s">
        <v>48</v>
      </c>
      <c r="N685" s="1">
        <v>2018</v>
      </c>
      <c r="O685" t="str" cm="1">
        <f t="array" ref="O685">_xlfn.IFS(OR($K685="Ghana", $K685="Nigeria"), "Anglophone", OR($K685="Togo", $K685="Benin", $K685="Senegal"), "Francophone")</f>
        <v>Francophone</v>
      </c>
      <c r="P685" s="1" t="str">
        <f>LEFT(Int_breweries[[#This Row],[MONTHS]], 3)</f>
        <v>Dec</v>
      </c>
    </row>
    <row r="686" spans="1:16" ht="12.5" x14ac:dyDescent="0.25">
      <c r="A686" s="1">
        <v>10785</v>
      </c>
      <c r="B686" s="1" t="s">
        <v>17</v>
      </c>
      <c r="C686" s="1" t="s">
        <v>18</v>
      </c>
      <c r="D686" t="s">
        <v>68</v>
      </c>
      <c r="E686" s="1">
        <v>80</v>
      </c>
      <c r="F686" s="1">
        <v>150</v>
      </c>
      <c r="G686" s="1">
        <v>952</v>
      </c>
      <c r="H686" s="1">
        <f>Int_breweries[[#This Row],[PLANT_COST]]*Int_breweries[[#This Row],[QUANTITY]]</f>
        <v>76160</v>
      </c>
      <c r="I686" s="1">
        <v>142800</v>
      </c>
      <c r="J686" s="1">
        <v>66640</v>
      </c>
      <c r="K686" s="1" t="s">
        <v>32</v>
      </c>
      <c r="L686" t="s">
        <v>61</v>
      </c>
      <c r="M686" s="1" t="s">
        <v>16</v>
      </c>
      <c r="N686" s="1">
        <v>2017</v>
      </c>
      <c r="O686" t="str" cm="1">
        <f t="array" ref="O686">_xlfn.IFS(OR($K686="Ghana", $K686="Nigeria"), "Anglophone", OR($K686="Togo", $K686="Benin", $K686="Senegal"), "Francophone")</f>
        <v>Francophone</v>
      </c>
      <c r="P686" s="1" t="str">
        <f>LEFT(Int_breweries[[#This Row],[MONTHS]], 3)</f>
        <v>Jan</v>
      </c>
    </row>
    <row r="687" spans="1:16" ht="12.5" x14ac:dyDescent="0.25">
      <c r="A687" s="1">
        <v>10786</v>
      </c>
      <c r="B687" s="1" t="s">
        <v>22</v>
      </c>
      <c r="C687" s="1" t="s">
        <v>23</v>
      </c>
      <c r="D687" t="s">
        <v>69</v>
      </c>
      <c r="E687" s="1">
        <v>90</v>
      </c>
      <c r="F687" s="1">
        <v>150</v>
      </c>
      <c r="G687" s="1">
        <v>817</v>
      </c>
      <c r="H687" s="1">
        <f>Int_breweries[[#This Row],[PLANT_COST]]*Int_breweries[[#This Row],[QUANTITY]]</f>
        <v>73530</v>
      </c>
      <c r="I687" s="1">
        <v>122550</v>
      </c>
      <c r="J687" s="1">
        <v>49020</v>
      </c>
      <c r="K687" s="1" t="s">
        <v>14</v>
      </c>
      <c r="L687" t="s">
        <v>62</v>
      </c>
      <c r="M687" s="1" t="s">
        <v>21</v>
      </c>
      <c r="N687" s="1">
        <v>2018</v>
      </c>
      <c r="O687" t="str" cm="1">
        <f t="array" ref="O687">_xlfn.IFS(OR($K687="Ghana", $K687="Nigeria"), "Anglophone", OR($K687="Togo", $K687="Benin", $K687="Senegal"), "Francophone")</f>
        <v>Anglophone</v>
      </c>
      <c r="P687" s="1" t="str">
        <f>LEFT(Int_breweries[[#This Row],[MONTHS]], 3)</f>
        <v>Feb</v>
      </c>
    </row>
    <row r="688" spans="1:16" ht="12.5" x14ac:dyDescent="0.25">
      <c r="A688" s="1">
        <v>10787</v>
      </c>
      <c r="B688" s="1" t="s">
        <v>26</v>
      </c>
      <c r="C688" s="1" t="s">
        <v>27</v>
      </c>
      <c r="D688" t="s">
        <v>63</v>
      </c>
      <c r="E688" s="1">
        <v>150</v>
      </c>
      <c r="F688" s="1">
        <v>200</v>
      </c>
      <c r="G688" s="1">
        <v>980</v>
      </c>
      <c r="H688" s="1">
        <f>Int_breweries[[#This Row],[PLANT_COST]]*Int_breweries[[#This Row],[QUANTITY]]</f>
        <v>147000</v>
      </c>
      <c r="I688" s="1">
        <v>196000</v>
      </c>
      <c r="J688" s="1">
        <v>49000</v>
      </c>
      <c r="K688" s="1" t="s">
        <v>19</v>
      </c>
      <c r="L688" t="s">
        <v>15</v>
      </c>
      <c r="M688" s="1" t="s">
        <v>25</v>
      </c>
      <c r="N688" s="1">
        <v>2018</v>
      </c>
      <c r="O688" t="str" cm="1">
        <f t="array" ref="O688">_xlfn.IFS(OR($K688="Ghana", $K688="Nigeria"), "Anglophone", OR($K688="Togo", $K688="Benin", $K688="Senegal"), "Francophone")</f>
        <v>Anglophone</v>
      </c>
      <c r="P688" s="1" t="str">
        <f>LEFT(Int_breweries[[#This Row],[MONTHS]], 3)</f>
        <v>Mar</v>
      </c>
    </row>
    <row r="689" spans="1:16" ht="12.5" x14ac:dyDescent="0.25">
      <c r="A689" s="1">
        <v>10788</v>
      </c>
      <c r="B689" s="1" t="s">
        <v>30</v>
      </c>
      <c r="C689" s="1" t="s">
        <v>31</v>
      </c>
      <c r="D689" t="s">
        <v>64</v>
      </c>
      <c r="E689" s="1">
        <v>250</v>
      </c>
      <c r="F689" s="1">
        <v>500</v>
      </c>
      <c r="G689" s="1">
        <v>826</v>
      </c>
      <c r="H689" s="1">
        <f>Int_breweries[[#This Row],[PLANT_COST]]*Int_breweries[[#This Row],[QUANTITY]]</f>
        <v>206500</v>
      </c>
      <c r="I689" s="1">
        <v>413000</v>
      </c>
      <c r="J689" s="1">
        <v>206500</v>
      </c>
      <c r="K689" s="1" t="s">
        <v>24</v>
      </c>
      <c r="L689" t="s">
        <v>58</v>
      </c>
      <c r="M689" s="1" t="s">
        <v>29</v>
      </c>
      <c r="N689" s="1">
        <v>2019</v>
      </c>
      <c r="O689" t="str" cm="1">
        <f t="array" ref="O689">_xlfn.IFS(OR($K689="Ghana", $K689="Nigeria"), "Anglophone", OR($K689="Togo", $K689="Benin", $K689="Senegal"), "Francophone")</f>
        <v>Francophone</v>
      </c>
      <c r="P689" s="1" t="str">
        <f>LEFT(Int_breweries[[#This Row],[MONTHS]], 3)</f>
        <v>Apr</v>
      </c>
    </row>
    <row r="690" spans="1:16" ht="12.5" x14ac:dyDescent="0.25">
      <c r="A690" s="1">
        <v>10789</v>
      </c>
      <c r="B690" s="1" t="s">
        <v>12</v>
      </c>
      <c r="C690" s="1" t="s">
        <v>13</v>
      </c>
      <c r="D690" t="s">
        <v>65</v>
      </c>
      <c r="E690" s="1">
        <v>180</v>
      </c>
      <c r="F690" s="1">
        <v>450</v>
      </c>
      <c r="G690" s="1">
        <v>864</v>
      </c>
      <c r="H690" s="1">
        <f>Int_breweries[[#This Row],[PLANT_COST]]*Int_breweries[[#This Row],[QUANTITY]]</f>
        <v>155520</v>
      </c>
      <c r="I690" s="1">
        <v>388800</v>
      </c>
      <c r="J690" s="1">
        <v>233280</v>
      </c>
      <c r="K690" s="1" t="s">
        <v>28</v>
      </c>
      <c r="L690" t="s">
        <v>59</v>
      </c>
      <c r="M690" s="1" t="s">
        <v>33</v>
      </c>
      <c r="N690" s="1">
        <v>2017</v>
      </c>
      <c r="O690" t="str" cm="1">
        <f t="array" ref="O690">_xlfn.IFS(OR($K690="Ghana", $K690="Nigeria"), "Anglophone", OR($K690="Togo", $K690="Benin", $K690="Senegal"), "Francophone")</f>
        <v>Francophone</v>
      </c>
      <c r="P690" s="1" t="str">
        <f>LEFT(Int_breweries[[#This Row],[MONTHS]], 3)</f>
        <v>May</v>
      </c>
    </row>
    <row r="691" spans="1:16" ht="12.5" x14ac:dyDescent="0.25">
      <c r="A691" s="1">
        <v>10790</v>
      </c>
      <c r="B691" s="1" t="s">
        <v>35</v>
      </c>
      <c r="C691" s="1" t="s">
        <v>36</v>
      </c>
      <c r="D691" t="s">
        <v>66</v>
      </c>
      <c r="E691" s="1">
        <v>170</v>
      </c>
      <c r="F691" s="1">
        <v>250</v>
      </c>
      <c r="G691" s="1">
        <v>737</v>
      </c>
      <c r="H691" s="1">
        <f>Int_breweries[[#This Row],[PLANT_COST]]*Int_breweries[[#This Row],[QUANTITY]]</f>
        <v>125290</v>
      </c>
      <c r="I691" s="1">
        <v>184250</v>
      </c>
      <c r="J691" s="1">
        <v>58960</v>
      </c>
      <c r="K691" s="1" t="s">
        <v>32</v>
      </c>
      <c r="L691" t="s">
        <v>60</v>
      </c>
      <c r="M691" s="1" t="s">
        <v>34</v>
      </c>
      <c r="N691" s="1">
        <v>2018</v>
      </c>
      <c r="O691" t="str" cm="1">
        <f t="array" ref="O691">_xlfn.IFS(OR($K691="Ghana", $K691="Nigeria"), "Anglophone", OR($K691="Togo", $K691="Benin", $K691="Senegal"), "Francophone")</f>
        <v>Francophone</v>
      </c>
      <c r="P691" s="1" t="str">
        <f>LEFT(Int_breweries[[#This Row],[MONTHS]], 3)</f>
        <v>Jun</v>
      </c>
    </row>
    <row r="692" spans="1:16" ht="12.5" x14ac:dyDescent="0.25">
      <c r="A692" s="1">
        <v>10791</v>
      </c>
      <c r="B692" s="1" t="s">
        <v>26</v>
      </c>
      <c r="C692" s="1" t="s">
        <v>27</v>
      </c>
      <c r="D692" t="s">
        <v>67</v>
      </c>
      <c r="E692" s="1">
        <v>150</v>
      </c>
      <c r="F692" s="1">
        <v>200</v>
      </c>
      <c r="G692" s="1">
        <v>773</v>
      </c>
      <c r="H692" s="1">
        <f>Int_breweries[[#This Row],[PLANT_COST]]*Int_breweries[[#This Row],[QUANTITY]]</f>
        <v>115950</v>
      </c>
      <c r="I692" s="1">
        <v>154600</v>
      </c>
      <c r="J692" s="1">
        <v>38650</v>
      </c>
      <c r="K692" s="1" t="s">
        <v>14</v>
      </c>
      <c r="L692" t="s">
        <v>61</v>
      </c>
      <c r="M692" s="1" t="s">
        <v>37</v>
      </c>
      <c r="N692" s="1">
        <v>2018</v>
      </c>
      <c r="O692" t="str" cm="1">
        <f t="array" ref="O692">_xlfn.IFS(OR($K692="Ghana", $K692="Nigeria"), "Anglophone", OR($K692="Togo", $K692="Benin", $K692="Senegal"), "Francophone")</f>
        <v>Anglophone</v>
      </c>
      <c r="P692" s="1" t="str">
        <f>LEFT(Int_breweries[[#This Row],[MONTHS]], 3)</f>
        <v>Jul</v>
      </c>
    </row>
    <row r="693" spans="1:16" ht="12.5" x14ac:dyDescent="0.25">
      <c r="A693" s="1">
        <v>10792</v>
      </c>
      <c r="B693" s="1" t="s">
        <v>39</v>
      </c>
      <c r="C693" s="1" t="s">
        <v>40</v>
      </c>
      <c r="D693" t="s">
        <v>68</v>
      </c>
      <c r="E693" s="1">
        <v>80</v>
      </c>
      <c r="F693" s="1">
        <v>150</v>
      </c>
      <c r="G693" s="1">
        <v>902</v>
      </c>
      <c r="H693" s="1">
        <f>Int_breweries[[#This Row],[PLANT_COST]]*Int_breweries[[#This Row],[QUANTITY]]</f>
        <v>72160</v>
      </c>
      <c r="I693" s="1">
        <v>135300</v>
      </c>
      <c r="J693" s="1">
        <v>63140</v>
      </c>
      <c r="K693" s="1" t="s">
        <v>19</v>
      </c>
      <c r="L693" t="s">
        <v>62</v>
      </c>
      <c r="M693" s="1" t="s">
        <v>38</v>
      </c>
      <c r="N693" s="1">
        <v>2019</v>
      </c>
      <c r="O693" t="str" cm="1">
        <f t="array" ref="O693">_xlfn.IFS(OR($K693="Ghana", $K693="Nigeria"), "Anglophone", OR($K693="Togo", $K693="Benin", $K693="Senegal"), "Francophone")</f>
        <v>Anglophone</v>
      </c>
      <c r="P693" s="1" t="str">
        <f>LEFT(Int_breweries[[#This Row],[MONTHS]], 3)</f>
        <v>Aug</v>
      </c>
    </row>
    <row r="694" spans="1:16" ht="12.5" x14ac:dyDescent="0.25">
      <c r="A694" s="1">
        <v>10793</v>
      </c>
      <c r="B694" s="1" t="s">
        <v>42</v>
      </c>
      <c r="C694" s="1" t="s">
        <v>43</v>
      </c>
      <c r="D694" t="s">
        <v>69</v>
      </c>
      <c r="E694" s="1">
        <v>90</v>
      </c>
      <c r="F694" s="1">
        <v>150</v>
      </c>
      <c r="G694" s="1">
        <v>888</v>
      </c>
      <c r="H694" s="1">
        <f>Int_breweries[[#This Row],[PLANT_COST]]*Int_breweries[[#This Row],[QUANTITY]]</f>
        <v>79920</v>
      </c>
      <c r="I694" s="1">
        <v>133200</v>
      </c>
      <c r="J694" s="1">
        <v>53280</v>
      </c>
      <c r="K694" s="1" t="s">
        <v>24</v>
      </c>
      <c r="L694" t="s">
        <v>15</v>
      </c>
      <c r="M694" s="1" t="s">
        <v>41</v>
      </c>
      <c r="N694" s="1">
        <v>2019</v>
      </c>
      <c r="O694" t="str" cm="1">
        <f t="array" ref="O694">_xlfn.IFS(OR($K694="Ghana", $K694="Nigeria"), "Anglophone", OR($K694="Togo", $K694="Benin", $K694="Senegal"), "Francophone")</f>
        <v>Francophone</v>
      </c>
      <c r="P694" s="1" t="str">
        <f>LEFT(Int_breweries[[#This Row],[MONTHS]], 3)</f>
        <v>Sep</v>
      </c>
    </row>
    <row r="695" spans="1:16" ht="12.5" x14ac:dyDescent="0.25">
      <c r="A695" s="1">
        <v>10794</v>
      </c>
      <c r="B695" s="1" t="s">
        <v>45</v>
      </c>
      <c r="C695" s="1" t="s">
        <v>46</v>
      </c>
      <c r="D695" t="s">
        <v>63</v>
      </c>
      <c r="E695" s="1">
        <v>150</v>
      </c>
      <c r="F695" s="1">
        <v>200</v>
      </c>
      <c r="G695" s="1">
        <v>893</v>
      </c>
      <c r="H695" s="1">
        <f>Int_breweries[[#This Row],[PLANT_COST]]*Int_breweries[[#This Row],[QUANTITY]]</f>
        <v>133950</v>
      </c>
      <c r="I695" s="1">
        <v>178600</v>
      </c>
      <c r="J695" s="1">
        <v>44650</v>
      </c>
      <c r="K695" s="1" t="s">
        <v>28</v>
      </c>
      <c r="L695" t="s">
        <v>58</v>
      </c>
      <c r="M695" s="1" t="s">
        <v>44</v>
      </c>
      <c r="N695" s="1">
        <v>2019</v>
      </c>
      <c r="O695" t="str" cm="1">
        <f t="array" ref="O695">_xlfn.IFS(OR($K695="Ghana", $K695="Nigeria"), "Anglophone", OR($K695="Togo", $K695="Benin", $K695="Senegal"), "Francophone")</f>
        <v>Francophone</v>
      </c>
      <c r="P695" s="1" t="str">
        <f>LEFT(Int_breweries[[#This Row],[MONTHS]], 3)</f>
        <v>Oct</v>
      </c>
    </row>
    <row r="696" spans="1:16" ht="12.5" x14ac:dyDescent="0.25">
      <c r="A696" s="1">
        <v>10795</v>
      </c>
      <c r="B696" s="1" t="s">
        <v>26</v>
      </c>
      <c r="C696" s="1" t="s">
        <v>27</v>
      </c>
      <c r="D696" t="s">
        <v>64</v>
      </c>
      <c r="E696" s="1">
        <v>250</v>
      </c>
      <c r="F696" s="1">
        <v>500</v>
      </c>
      <c r="G696" s="1">
        <v>718</v>
      </c>
      <c r="H696" s="1">
        <f>Int_breweries[[#This Row],[PLANT_COST]]*Int_breweries[[#This Row],[QUANTITY]]</f>
        <v>179500</v>
      </c>
      <c r="I696" s="1">
        <v>359000</v>
      </c>
      <c r="J696" s="1">
        <v>179500</v>
      </c>
      <c r="K696" s="1" t="s">
        <v>32</v>
      </c>
      <c r="L696" t="s">
        <v>59</v>
      </c>
      <c r="M696" s="1" t="s">
        <v>47</v>
      </c>
      <c r="N696" s="1">
        <v>2017</v>
      </c>
      <c r="O696" t="str" cm="1">
        <f t="array" ref="O696">_xlfn.IFS(OR($K696="Ghana", $K696="Nigeria"), "Anglophone", OR($K696="Togo", $K696="Benin", $K696="Senegal"), "Francophone")</f>
        <v>Francophone</v>
      </c>
      <c r="P696" s="1" t="str">
        <f>LEFT(Int_breweries[[#This Row],[MONTHS]], 3)</f>
        <v>Nov</v>
      </c>
    </row>
    <row r="697" spans="1:16" ht="12.5" x14ac:dyDescent="0.25">
      <c r="A697" s="1">
        <v>10796</v>
      </c>
      <c r="B697" s="1" t="s">
        <v>49</v>
      </c>
      <c r="C697" s="1" t="s">
        <v>50</v>
      </c>
      <c r="D697" t="s">
        <v>65</v>
      </c>
      <c r="E697" s="1">
        <v>180</v>
      </c>
      <c r="F697" s="1">
        <v>450</v>
      </c>
      <c r="G697" s="1">
        <v>744</v>
      </c>
      <c r="H697" s="1">
        <f>Int_breweries[[#This Row],[PLANT_COST]]*Int_breweries[[#This Row],[QUANTITY]]</f>
        <v>133920</v>
      </c>
      <c r="I697" s="1">
        <v>334800</v>
      </c>
      <c r="J697" s="1">
        <v>200880</v>
      </c>
      <c r="K697" s="1" t="s">
        <v>14</v>
      </c>
      <c r="L697" t="s">
        <v>60</v>
      </c>
      <c r="M697" s="1" t="s">
        <v>48</v>
      </c>
      <c r="N697" s="1">
        <v>2017</v>
      </c>
      <c r="O697" t="str" cm="1">
        <f t="array" ref="O697">_xlfn.IFS(OR($K697="Ghana", $K697="Nigeria"), "Anglophone", OR($K697="Togo", $K697="Benin", $K697="Senegal"), "Francophone")</f>
        <v>Anglophone</v>
      </c>
      <c r="P697" s="1" t="str">
        <f>LEFT(Int_breweries[[#This Row],[MONTHS]], 3)</f>
        <v>Dec</v>
      </c>
    </row>
    <row r="698" spans="1:16" ht="12.5" x14ac:dyDescent="0.25">
      <c r="A698" s="1">
        <v>10797</v>
      </c>
      <c r="B698" s="1" t="s">
        <v>26</v>
      </c>
      <c r="C698" s="1" t="s">
        <v>27</v>
      </c>
      <c r="D698" t="s">
        <v>66</v>
      </c>
      <c r="E698" s="1">
        <v>170</v>
      </c>
      <c r="F698" s="1">
        <v>250</v>
      </c>
      <c r="G698" s="1">
        <v>959</v>
      </c>
      <c r="H698" s="1">
        <f>Int_breweries[[#This Row],[PLANT_COST]]*Int_breweries[[#This Row],[QUANTITY]]</f>
        <v>163030</v>
      </c>
      <c r="I698" s="1">
        <v>239750</v>
      </c>
      <c r="J698" s="1">
        <v>76720</v>
      </c>
      <c r="K698" s="1" t="s">
        <v>19</v>
      </c>
      <c r="L698" t="s">
        <v>61</v>
      </c>
      <c r="M698" s="1" t="s">
        <v>16</v>
      </c>
      <c r="N698" s="1">
        <v>2017</v>
      </c>
      <c r="O698" t="str" cm="1">
        <f t="array" ref="O698">_xlfn.IFS(OR($K698="Ghana", $K698="Nigeria"), "Anglophone", OR($K698="Togo", $K698="Benin", $K698="Senegal"), "Francophone")</f>
        <v>Anglophone</v>
      </c>
      <c r="P698" s="1" t="str">
        <f>LEFT(Int_breweries[[#This Row],[MONTHS]], 3)</f>
        <v>Jan</v>
      </c>
    </row>
    <row r="699" spans="1:16" ht="12.5" x14ac:dyDescent="0.25">
      <c r="A699" s="1">
        <v>10798</v>
      </c>
      <c r="B699" s="1" t="s">
        <v>39</v>
      </c>
      <c r="C699" s="1" t="s">
        <v>40</v>
      </c>
      <c r="D699" t="s">
        <v>67</v>
      </c>
      <c r="E699" s="1">
        <v>150</v>
      </c>
      <c r="F699" s="1">
        <v>200</v>
      </c>
      <c r="G699" s="1">
        <v>976</v>
      </c>
      <c r="H699" s="1">
        <f>Int_breweries[[#This Row],[PLANT_COST]]*Int_breweries[[#This Row],[QUANTITY]]</f>
        <v>146400</v>
      </c>
      <c r="I699" s="1">
        <v>195200</v>
      </c>
      <c r="J699" s="1">
        <v>48800</v>
      </c>
      <c r="K699" s="1" t="s">
        <v>24</v>
      </c>
      <c r="L699" t="s">
        <v>62</v>
      </c>
      <c r="M699" s="1" t="s">
        <v>21</v>
      </c>
      <c r="N699" s="1">
        <v>2017</v>
      </c>
      <c r="O699" t="str" cm="1">
        <f t="array" ref="O699">_xlfn.IFS(OR($K699="Ghana", $K699="Nigeria"), "Anglophone", OR($K699="Togo", $K699="Benin", $K699="Senegal"), "Francophone")</f>
        <v>Francophone</v>
      </c>
      <c r="P699" s="1" t="str">
        <f>LEFT(Int_breweries[[#This Row],[MONTHS]], 3)</f>
        <v>Feb</v>
      </c>
    </row>
    <row r="700" spans="1:16" ht="12.5" x14ac:dyDescent="0.25">
      <c r="A700" s="1">
        <v>10799</v>
      </c>
      <c r="B700" s="1" t="s">
        <v>26</v>
      </c>
      <c r="C700" s="1" t="s">
        <v>27</v>
      </c>
      <c r="D700" t="s">
        <v>68</v>
      </c>
      <c r="E700" s="1">
        <v>80</v>
      </c>
      <c r="F700" s="1">
        <v>150</v>
      </c>
      <c r="G700" s="1">
        <v>940</v>
      </c>
      <c r="H700" s="1">
        <f>Int_breweries[[#This Row],[PLANT_COST]]*Int_breweries[[#This Row],[QUANTITY]]</f>
        <v>75200</v>
      </c>
      <c r="I700" s="1">
        <v>141000</v>
      </c>
      <c r="J700" s="1">
        <v>65800</v>
      </c>
      <c r="K700" s="1" t="s">
        <v>28</v>
      </c>
      <c r="L700" t="s">
        <v>15</v>
      </c>
      <c r="M700" s="1" t="s">
        <v>25</v>
      </c>
      <c r="N700" s="1">
        <v>2018</v>
      </c>
      <c r="O700" t="str" cm="1">
        <f t="array" ref="O700">_xlfn.IFS(OR($K700="Ghana", $K700="Nigeria"), "Anglophone", OR($K700="Togo", $K700="Benin", $K700="Senegal"), "Francophone")</f>
        <v>Francophone</v>
      </c>
      <c r="P700" s="1" t="str">
        <f>LEFT(Int_breweries[[#This Row],[MONTHS]], 3)</f>
        <v>Mar</v>
      </c>
    </row>
    <row r="701" spans="1:16" ht="12.5" x14ac:dyDescent="0.25">
      <c r="A701" s="1">
        <v>10800</v>
      </c>
      <c r="B701" s="1" t="s">
        <v>45</v>
      </c>
      <c r="C701" s="1" t="s">
        <v>46</v>
      </c>
      <c r="D701" t="s">
        <v>69</v>
      </c>
      <c r="E701" s="1">
        <v>90</v>
      </c>
      <c r="F701" s="1">
        <v>150</v>
      </c>
      <c r="G701" s="1">
        <v>956</v>
      </c>
      <c r="H701" s="1">
        <f>Int_breweries[[#This Row],[PLANT_COST]]*Int_breweries[[#This Row],[QUANTITY]]</f>
        <v>86040</v>
      </c>
      <c r="I701" s="1">
        <v>143400</v>
      </c>
      <c r="J701" s="1">
        <v>57360</v>
      </c>
      <c r="K701" s="1" t="s">
        <v>32</v>
      </c>
      <c r="L701" t="s">
        <v>58</v>
      </c>
      <c r="M701" s="1" t="s">
        <v>29</v>
      </c>
      <c r="N701" s="1">
        <v>2019</v>
      </c>
      <c r="O701" t="str" cm="1">
        <f t="array" ref="O701">_xlfn.IFS(OR($K701="Ghana", $K701="Nigeria"), "Anglophone", OR($K701="Togo", $K701="Benin", $K701="Senegal"), "Francophone")</f>
        <v>Francophone</v>
      </c>
      <c r="P701" s="1" t="str">
        <f>LEFT(Int_breweries[[#This Row],[MONTHS]], 3)</f>
        <v>Apr</v>
      </c>
    </row>
    <row r="702" spans="1:16" ht="12.5" x14ac:dyDescent="0.25">
      <c r="A702" s="1">
        <v>10801</v>
      </c>
      <c r="B702" s="1" t="s">
        <v>51</v>
      </c>
      <c r="C702" s="1" t="s">
        <v>52</v>
      </c>
      <c r="D702" t="s">
        <v>63</v>
      </c>
      <c r="E702" s="1">
        <v>150</v>
      </c>
      <c r="F702" s="1">
        <v>200</v>
      </c>
      <c r="G702" s="1">
        <v>908</v>
      </c>
      <c r="H702" s="1">
        <f>Int_breweries[[#This Row],[PLANT_COST]]*Int_breweries[[#This Row],[QUANTITY]]</f>
        <v>136200</v>
      </c>
      <c r="I702" s="1">
        <v>181600</v>
      </c>
      <c r="J702" s="1">
        <v>45400</v>
      </c>
      <c r="K702" s="1" t="s">
        <v>14</v>
      </c>
      <c r="L702" t="s">
        <v>59</v>
      </c>
      <c r="M702" s="1" t="s">
        <v>33</v>
      </c>
      <c r="N702" s="1">
        <v>2018</v>
      </c>
      <c r="O702" t="str" cm="1">
        <f t="array" ref="O702">_xlfn.IFS(OR($K702="Ghana", $K702="Nigeria"), "Anglophone", OR($K702="Togo", $K702="Benin", $K702="Senegal"), "Francophone")</f>
        <v>Anglophone</v>
      </c>
      <c r="P702" s="1" t="str">
        <f>LEFT(Int_breweries[[#This Row],[MONTHS]], 3)</f>
        <v>May</v>
      </c>
    </row>
    <row r="703" spans="1:16" ht="12.5" x14ac:dyDescent="0.25">
      <c r="A703" s="1">
        <v>10802</v>
      </c>
      <c r="B703" s="1" t="s">
        <v>49</v>
      </c>
      <c r="C703" s="1" t="s">
        <v>50</v>
      </c>
      <c r="D703" t="s">
        <v>64</v>
      </c>
      <c r="E703" s="1">
        <v>250</v>
      </c>
      <c r="F703" s="1">
        <v>500</v>
      </c>
      <c r="G703" s="1">
        <v>866</v>
      </c>
      <c r="H703" s="1">
        <f>Int_breweries[[#This Row],[PLANT_COST]]*Int_breweries[[#This Row],[QUANTITY]]</f>
        <v>216500</v>
      </c>
      <c r="I703" s="1">
        <v>433000</v>
      </c>
      <c r="J703" s="1">
        <v>216500</v>
      </c>
      <c r="K703" s="1" t="s">
        <v>19</v>
      </c>
      <c r="L703" t="s">
        <v>60</v>
      </c>
      <c r="M703" s="1" t="s">
        <v>34</v>
      </c>
      <c r="N703" s="1">
        <v>2018</v>
      </c>
      <c r="O703" t="str" cm="1">
        <f t="array" ref="O703">_xlfn.IFS(OR($K703="Ghana", $K703="Nigeria"), "Anglophone", OR($K703="Togo", $K703="Benin", $K703="Senegal"), "Francophone")</f>
        <v>Anglophone</v>
      </c>
      <c r="P703" s="1" t="str">
        <f>LEFT(Int_breweries[[#This Row],[MONTHS]], 3)</f>
        <v>Jun</v>
      </c>
    </row>
    <row r="704" spans="1:16" ht="12.5" x14ac:dyDescent="0.25">
      <c r="A704" s="1">
        <v>10803</v>
      </c>
      <c r="B704" s="1" t="s">
        <v>45</v>
      </c>
      <c r="C704" s="1" t="s">
        <v>46</v>
      </c>
      <c r="D704" t="s">
        <v>65</v>
      </c>
      <c r="E704" s="1">
        <v>180</v>
      </c>
      <c r="F704" s="1">
        <v>450</v>
      </c>
      <c r="G704" s="1">
        <v>735</v>
      </c>
      <c r="H704" s="1">
        <f>Int_breweries[[#This Row],[PLANT_COST]]*Int_breweries[[#This Row],[QUANTITY]]</f>
        <v>132300</v>
      </c>
      <c r="I704" s="1">
        <v>330750</v>
      </c>
      <c r="J704" s="1">
        <v>198450</v>
      </c>
      <c r="K704" s="1" t="s">
        <v>24</v>
      </c>
      <c r="L704" t="s">
        <v>61</v>
      </c>
      <c r="M704" s="1" t="s">
        <v>37</v>
      </c>
      <c r="N704" s="1">
        <v>2019</v>
      </c>
      <c r="O704" t="str" cm="1">
        <f t="array" ref="O704">_xlfn.IFS(OR($K704="Ghana", $K704="Nigeria"), "Anglophone", OR($K704="Togo", $K704="Benin", $K704="Senegal"), "Francophone")</f>
        <v>Francophone</v>
      </c>
      <c r="P704" s="1" t="str">
        <f>LEFT(Int_breweries[[#This Row],[MONTHS]], 3)</f>
        <v>Jul</v>
      </c>
    </row>
    <row r="705" spans="1:16" ht="12.5" x14ac:dyDescent="0.25">
      <c r="A705" s="1">
        <v>10804</v>
      </c>
      <c r="B705" s="1" t="s">
        <v>17</v>
      </c>
      <c r="C705" s="1" t="s">
        <v>18</v>
      </c>
      <c r="D705" t="s">
        <v>66</v>
      </c>
      <c r="E705" s="1">
        <v>170</v>
      </c>
      <c r="F705" s="1">
        <v>250</v>
      </c>
      <c r="G705" s="1">
        <v>802</v>
      </c>
      <c r="H705" s="1">
        <f>Int_breweries[[#This Row],[PLANT_COST]]*Int_breweries[[#This Row],[QUANTITY]]</f>
        <v>136340</v>
      </c>
      <c r="I705" s="1">
        <v>200500</v>
      </c>
      <c r="J705" s="1">
        <v>64160</v>
      </c>
      <c r="K705" s="1" t="s">
        <v>28</v>
      </c>
      <c r="L705" t="s">
        <v>62</v>
      </c>
      <c r="M705" s="1" t="s">
        <v>38</v>
      </c>
      <c r="N705" s="1">
        <v>2017</v>
      </c>
      <c r="O705" t="str" cm="1">
        <f t="array" ref="O705">_xlfn.IFS(OR($K705="Ghana", $K705="Nigeria"), "Anglophone", OR($K705="Togo", $K705="Benin", $K705="Senegal"), "Francophone")</f>
        <v>Francophone</v>
      </c>
      <c r="P705" s="1" t="str">
        <f>LEFT(Int_breweries[[#This Row],[MONTHS]], 3)</f>
        <v>Aug</v>
      </c>
    </row>
    <row r="706" spans="1:16" ht="12.5" x14ac:dyDescent="0.25">
      <c r="A706" s="1">
        <v>10805</v>
      </c>
      <c r="B706" s="1" t="s">
        <v>49</v>
      </c>
      <c r="C706" s="1" t="s">
        <v>50</v>
      </c>
      <c r="D706" t="s">
        <v>67</v>
      </c>
      <c r="E706" s="1">
        <v>150</v>
      </c>
      <c r="F706" s="1">
        <v>200</v>
      </c>
      <c r="G706" s="1">
        <v>976</v>
      </c>
      <c r="H706" s="1">
        <f>Int_breweries[[#This Row],[PLANT_COST]]*Int_breweries[[#This Row],[QUANTITY]]</f>
        <v>146400</v>
      </c>
      <c r="I706" s="1">
        <v>195200</v>
      </c>
      <c r="J706" s="1">
        <v>48800</v>
      </c>
      <c r="K706" s="1" t="s">
        <v>32</v>
      </c>
      <c r="L706" t="s">
        <v>15</v>
      </c>
      <c r="M706" s="1" t="s">
        <v>41</v>
      </c>
      <c r="N706" s="1">
        <v>2018</v>
      </c>
      <c r="O706" t="str" cm="1">
        <f t="array" ref="O706">_xlfn.IFS(OR($K706="Ghana", $K706="Nigeria"), "Anglophone", OR($K706="Togo", $K706="Benin", $K706="Senegal"), "Francophone")</f>
        <v>Francophone</v>
      </c>
      <c r="P706" s="1" t="str">
        <f>LEFT(Int_breweries[[#This Row],[MONTHS]], 3)</f>
        <v>Sep</v>
      </c>
    </row>
    <row r="707" spans="1:16" ht="12.5" x14ac:dyDescent="0.25">
      <c r="A707" s="1">
        <v>10806</v>
      </c>
      <c r="B707" s="1" t="s">
        <v>26</v>
      </c>
      <c r="C707" s="1" t="s">
        <v>27</v>
      </c>
      <c r="D707" t="s">
        <v>68</v>
      </c>
      <c r="E707" s="1">
        <v>80</v>
      </c>
      <c r="F707" s="1">
        <v>150</v>
      </c>
      <c r="G707" s="1">
        <v>914</v>
      </c>
      <c r="H707" s="1">
        <f>Int_breweries[[#This Row],[PLANT_COST]]*Int_breweries[[#This Row],[QUANTITY]]</f>
        <v>73120</v>
      </c>
      <c r="I707" s="1">
        <v>137100</v>
      </c>
      <c r="J707" s="1">
        <v>63980</v>
      </c>
      <c r="K707" s="1" t="s">
        <v>14</v>
      </c>
      <c r="L707" t="s">
        <v>58</v>
      </c>
      <c r="M707" s="1" t="s">
        <v>44</v>
      </c>
      <c r="N707" s="1">
        <v>2017</v>
      </c>
      <c r="O707" t="str" cm="1">
        <f t="array" ref="O707">_xlfn.IFS(OR($K707="Ghana", $K707="Nigeria"), "Anglophone", OR($K707="Togo", $K707="Benin", $K707="Senegal"), "Francophone")</f>
        <v>Anglophone</v>
      </c>
      <c r="P707" s="1" t="str">
        <f>LEFT(Int_breweries[[#This Row],[MONTHS]], 3)</f>
        <v>Oct</v>
      </c>
    </row>
    <row r="708" spans="1:16" ht="12.5" x14ac:dyDescent="0.25">
      <c r="A708" s="1">
        <v>10807</v>
      </c>
      <c r="B708" s="1" t="s">
        <v>22</v>
      </c>
      <c r="C708" s="1" t="s">
        <v>23</v>
      </c>
      <c r="D708" t="s">
        <v>69</v>
      </c>
      <c r="E708" s="1">
        <v>90</v>
      </c>
      <c r="F708" s="1">
        <v>150</v>
      </c>
      <c r="G708" s="1">
        <v>821</v>
      </c>
      <c r="H708" s="1">
        <f>Int_breweries[[#This Row],[PLANT_COST]]*Int_breweries[[#This Row],[QUANTITY]]</f>
        <v>73890</v>
      </c>
      <c r="I708" s="1">
        <v>123150</v>
      </c>
      <c r="J708" s="1">
        <v>49260</v>
      </c>
      <c r="K708" s="1" t="s">
        <v>19</v>
      </c>
      <c r="L708" t="s">
        <v>59</v>
      </c>
      <c r="M708" s="1" t="s">
        <v>47</v>
      </c>
      <c r="N708" s="1">
        <v>2017</v>
      </c>
      <c r="O708" t="str" cm="1">
        <f t="array" ref="O708">_xlfn.IFS(OR($K708="Ghana", $K708="Nigeria"), "Anglophone", OR($K708="Togo", $K708="Benin", $K708="Senegal"), "Francophone")</f>
        <v>Anglophone</v>
      </c>
      <c r="P708" s="1" t="str">
        <f>LEFT(Int_breweries[[#This Row],[MONTHS]], 3)</f>
        <v>Nov</v>
      </c>
    </row>
    <row r="709" spans="1:16" ht="12.5" x14ac:dyDescent="0.25">
      <c r="A709" s="1">
        <v>10808</v>
      </c>
      <c r="B709" s="1" t="s">
        <v>12</v>
      </c>
      <c r="C709" s="1" t="s">
        <v>13</v>
      </c>
      <c r="D709" t="s">
        <v>63</v>
      </c>
      <c r="E709" s="1">
        <v>150</v>
      </c>
      <c r="F709" s="1">
        <v>200</v>
      </c>
      <c r="G709" s="1">
        <v>804</v>
      </c>
      <c r="H709" s="1">
        <f>Int_breweries[[#This Row],[PLANT_COST]]*Int_breweries[[#This Row],[QUANTITY]]</f>
        <v>120600</v>
      </c>
      <c r="I709" s="1">
        <v>160800</v>
      </c>
      <c r="J709" s="1">
        <v>40200</v>
      </c>
      <c r="K709" s="1" t="s">
        <v>24</v>
      </c>
      <c r="L709" t="s">
        <v>60</v>
      </c>
      <c r="M709" s="1" t="s">
        <v>48</v>
      </c>
      <c r="N709" s="1">
        <v>2017</v>
      </c>
      <c r="O709" t="str" cm="1">
        <f t="array" ref="O709">_xlfn.IFS(OR($K709="Ghana", $K709="Nigeria"), "Anglophone", OR($K709="Togo", $K709="Benin", $K709="Senegal"), "Francophone")</f>
        <v>Francophone</v>
      </c>
      <c r="P709" s="1" t="str">
        <f>LEFT(Int_breweries[[#This Row],[MONTHS]], 3)</f>
        <v>Dec</v>
      </c>
    </row>
    <row r="710" spans="1:16" ht="12.5" x14ac:dyDescent="0.25">
      <c r="A710" s="1">
        <v>10809</v>
      </c>
      <c r="B710" s="1" t="s">
        <v>30</v>
      </c>
      <c r="C710" s="1" t="s">
        <v>31</v>
      </c>
      <c r="D710" t="s">
        <v>64</v>
      </c>
      <c r="E710" s="1">
        <v>250</v>
      </c>
      <c r="F710" s="1">
        <v>500</v>
      </c>
      <c r="G710" s="1">
        <v>946</v>
      </c>
      <c r="H710" s="1">
        <f>Int_breweries[[#This Row],[PLANT_COST]]*Int_breweries[[#This Row],[QUANTITY]]</f>
        <v>236500</v>
      </c>
      <c r="I710" s="1">
        <v>473000</v>
      </c>
      <c r="J710" s="1">
        <v>236500</v>
      </c>
      <c r="K710" s="1" t="s">
        <v>28</v>
      </c>
      <c r="L710" t="s">
        <v>61</v>
      </c>
      <c r="M710" s="1" t="s">
        <v>16</v>
      </c>
      <c r="N710" s="1">
        <v>2017</v>
      </c>
      <c r="O710" t="str" cm="1">
        <f t="array" ref="O710">_xlfn.IFS(OR($K710="Ghana", $K710="Nigeria"), "Anglophone", OR($K710="Togo", $K710="Benin", $K710="Senegal"), "Francophone")</f>
        <v>Francophone</v>
      </c>
      <c r="P710" s="1" t="str">
        <f>LEFT(Int_breweries[[#This Row],[MONTHS]], 3)</f>
        <v>Jan</v>
      </c>
    </row>
    <row r="711" spans="1:16" ht="12.5" x14ac:dyDescent="0.25">
      <c r="A711" s="1">
        <v>10810</v>
      </c>
      <c r="B711" s="1" t="s">
        <v>42</v>
      </c>
      <c r="C711" s="1" t="s">
        <v>43</v>
      </c>
      <c r="D711" t="s">
        <v>65</v>
      </c>
      <c r="E711" s="1">
        <v>180</v>
      </c>
      <c r="F711" s="1">
        <v>450</v>
      </c>
      <c r="G711" s="1">
        <v>997</v>
      </c>
      <c r="H711" s="1">
        <f>Int_breweries[[#This Row],[PLANT_COST]]*Int_breweries[[#This Row],[QUANTITY]]</f>
        <v>179460</v>
      </c>
      <c r="I711" s="1">
        <v>448650</v>
      </c>
      <c r="J711" s="1">
        <v>269190</v>
      </c>
      <c r="K711" s="1" t="s">
        <v>32</v>
      </c>
      <c r="L711" t="s">
        <v>62</v>
      </c>
      <c r="M711" s="1" t="s">
        <v>21</v>
      </c>
      <c r="N711" s="1">
        <v>2019</v>
      </c>
      <c r="O711" t="str" cm="1">
        <f t="array" ref="O711">_xlfn.IFS(OR($K711="Ghana", $K711="Nigeria"), "Anglophone", OR($K711="Togo", $K711="Benin", $K711="Senegal"), "Francophone")</f>
        <v>Francophone</v>
      </c>
      <c r="P711" s="1" t="str">
        <f>LEFT(Int_breweries[[#This Row],[MONTHS]], 3)</f>
        <v>Feb</v>
      </c>
    </row>
    <row r="712" spans="1:16" ht="12.5" x14ac:dyDescent="0.25">
      <c r="A712" s="1">
        <v>10811</v>
      </c>
      <c r="B712" s="1" t="s">
        <v>17</v>
      </c>
      <c r="C712" s="1" t="s">
        <v>18</v>
      </c>
      <c r="D712" t="s">
        <v>66</v>
      </c>
      <c r="E712" s="1">
        <v>170</v>
      </c>
      <c r="F712" s="1">
        <v>250</v>
      </c>
      <c r="G712" s="1">
        <v>770</v>
      </c>
      <c r="H712" s="1">
        <f>Int_breweries[[#This Row],[PLANT_COST]]*Int_breweries[[#This Row],[QUANTITY]]</f>
        <v>130900</v>
      </c>
      <c r="I712" s="1">
        <v>192500</v>
      </c>
      <c r="J712" s="1">
        <v>61600</v>
      </c>
      <c r="K712" s="1" t="s">
        <v>14</v>
      </c>
      <c r="L712" t="s">
        <v>15</v>
      </c>
      <c r="M712" s="1" t="s">
        <v>25</v>
      </c>
      <c r="N712" s="1">
        <v>2019</v>
      </c>
      <c r="O712" t="str" cm="1">
        <f t="array" ref="O712">_xlfn.IFS(OR($K712="Ghana", $K712="Nigeria"), "Anglophone", OR($K712="Togo", $K712="Benin", $K712="Senegal"), "Francophone")</f>
        <v>Anglophone</v>
      </c>
      <c r="P712" s="1" t="str">
        <f>LEFT(Int_breweries[[#This Row],[MONTHS]], 3)</f>
        <v>Mar</v>
      </c>
    </row>
    <row r="713" spans="1:16" ht="12.5" x14ac:dyDescent="0.25">
      <c r="A713" s="1">
        <v>10812</v>
      </c>
      <c r="B713" s="1" t="s">
        <v>17</v>
      </c>
      <c r="C713" s="1" t="s">
        <v>18</v>
      </c>
      <c r="D713" t="s">
        <v>67</v>
      </c>
      <c r="E713" s="1">
        <v>150</v>
      </c>
      <c r="F713" s="1">
        <v>200</v>
      </c>
      <c r="G713" s="1">
        <v>901</v>
      </c>
      <c r="H713" s="1">
        <f>Int_breweries[[#This Row],[PLANT_COST]]*Int_breweries[[#This Row],[QUANTITY]]</f>
        <v>135150</v>
      </c>
      <c r="I713" s="1">
        <v>180200</v>
      </c>
      <c r="J713" s="1">
        <v>45050</v>
      </c>
      <c r="K713" s="1" t="s">
        <v>19</v>
      </c>
      <c r="L713" t="s">
        <v>58</v>
      </c>
      <c r="M713" s="1" t="s">
        <v>29</v>
      </c>
      <c r="N713" s="1">
        <v>2017</v>
      </c>
      <c r="O713" t="str" cm="1">
        <f t="array" ref="O713">_xlfn.IFS(OR($K713="Ghana", $K713="Nigeria"), "Anglophone", OR($K713="Togo", $K713="Benin", $K713="Senegal"), "Francophone")</f>
        <v>Anglophone</v>
      </c>
      <c r="P713" s="1" t="str">
        <f>LEFT(Int_breweries[[#This Row],[MONTHS]], 3)</f>
        <v>Apr</v>
      </c>
    </row>
    <row r="714" spans="1:16" ht="12.5" x14ac:dyDescent="0.25">
      <c r="A714" s="1">
        <v>10813</v>
      </c>
      <c r="B714" s="1" t="s">
        <v>51</v>
      </c>
      <c r="C714" s="1" t="s">
        <v>52</v>
      </c>
      <c r="D714" t="s">
        <v>68</v>
      </c>
      <c r="E714" s="1">
        <v>80</v>
      </c>
      <c r="F714" s="1">
        <v>150</v>
      </c>
      <c r="G714" s="1">
        <v>719</v>
      </c>
      <c r="H714" s="1">
        <f>Int_breweries[[#This Row],[PLANT_COST]]*Int_breweries[[#This Row],[QUANTITY]]</f>
        <v>57520</v>
      </c>
      <c r="I714" s="1">
        <v>107850</v>
      </c>
      <c r="J714" s="1">
        <v>50330</v>
      </c>
      <c r="K714" s="1" t="s">
        <v>24</v>
      </c>
      <c r="L714" t="s">
        <v>59</v>
      </c>
      <c r="M714" s="1" t="s">
        <v>33</v>
      </c>
      <c r="N714" s="1">
        <v>2019</v>
      </c>
      <c r="O714" t="str" cm="1">
        <f t="array" ref="O714">_xlfn.IFS(OR($K714="Ghana", $K714="Nigeria"), "Anglophone", OR($K714="Togo", $K714="Benin", $K714="Senegal"), "Francophone")</f>
        <v>Francophone</v>
      </c>
      <c r="P714" s="1" t="str">
        <f>LEFT(Int_breweries[[#This Row],[MONTHS]], 3)</f>
        <v>May</v>
      </c>
    </row>
    <row r="715" spans="1:16" ht="12.5" x14ac:dyDescent="0.25">
      <c r="A715" s="1">
        <v>10814</v>
      </c>
      <c r="B715" s="1" t="s">
        <v>26</v>
      </c>
      <c r="C715" s="1" t="s">
        <v>27</v>
      </c>
      <c r="D715" t="s">
        <v>69</v>
      </c>
      <c r="E715" s="1">
        <v>90</v>
      </c>
      <c r="F715" s="1">
        <v>150</v>
      </c>
      <c r="G715" s="1">
        <v>933</v>
      </c>
      <c r="H715" s="1">
        <f>Int_breweries[[#This Row],[PLANT_COST]]*Int_breweries[[#This Row],[QUANTITY]]</f>
        <v>83970</v>
      </c>
      <c r="I715" s="1">
        <v>139950</v>
      </c>
      <c r="J715" s="1">
        <v>55980</v>
      </c>
      <c r="K715" s="1" t="s">
        <v>28</v>
      </c>
      <c r="L715" t="s">
        <v>60</v>
      </c>
      <c r="M715" s="1" t="s">
        <v>34</v>
      </c>
      <c r="N715" s="1">
        <v>2018</v>
      </c>
      <c r="O715" t="str" cm="1">
        <f t="array" ref="O715">_xlfn.IFS(OR($K715="Ghana", $K715="Nigeria"), "Anglophone", OR($K715="Togo", $K715="Benin", $K715="Senegal"), "Francophone")</f>
        <v>Francophone</v>
      </c>
      <c r="P715" s="1" t="str">
        <f>LEFT(Int_breweries[[#This Row],[MONTHS]], 3)</f>
        <v>Jun</v>
      </c>
    </row>
    <row r="716" spans="1:16" ht="12.5" x14ac:dyDescent="0.25">
      <c r="A716" s="1">
        <v>10815</v>
      </c>
      <c r="B716" s="1" t="s">
        <v>39</v>
      </c>
      <c r="C716" s="1" t="s">
        <v>40</v>
      </c>
      <c r="D716" t="s">
        <v>63</v>
      </c>
      <c r="E716" s="1">
        <v>150</v>
      </c>
      <c r="F716" s="1">
        <v>200</v>
      </c>
      <c r="G716" s="1">
        <v>992</v>
      </c>
      <c r="H716" s="1">
        <f>Int_breweries[[#This Row],[PLANT_COST]]*Int_breweries[[#This Row],[QUANTITY]]</f>
        <v>148800</v>
      </c>
      <c r="I716" s="1">
        <v>198400</v>
      </c>
      <c r="J716" s="1">
        <v>49600</v>
      </c>
      <c r="K716" s="1" t="s">
        <v>32</v>
      </c>
      <c r="L716" t="s">
        <v>61</v>
      </c>
      <c r="M716" s="1" t="s">
        <v>37</v>
      </c>
      <c r="N716" s="1">
        <v>2017</v>
      </c>
      <c r="O716" t="str" cm="1">
        <f t="array" ref="O716">_xlfn.IFS(OR($K716="Ghana", $K716="Nigeria"), "Anglophone", OR($K716="Togo", $K716="Benin", $K716="Senegal"), "Francophone")</f>
        <v>Francophone</v>
      </c>
      <c r="P716" s="1" t="str">
        <f>LEFT(Int_breweries[[#This Row],[MONTHS]], 3)</f>
        <v>Jul</v>
      </c>
    </row>
    <row r="717" spans="1:16" ht="12.5" x14ac:dyDescent="0.25">
      <c r="A717" s="1">
        <v>10816</v>
      </c>
      <c r="B717" s="1" t="s">
        <v>51</v>
      </c>
      <c r="C717" s="1" t="s">
        <v>52</v>
      </c>
      <c r="D717" t="s">
        <v>64</v>
      </c>
      <c r="E717" s="1">
        <v>250</v>
      </c>
      <c r="F717" s="1">
        <v>500</v>
      </c>
      <c r="G717" s="1">
        <v>818</v>
      </c>
      <c r="H717" s="1">
        <f>Int_breweries[[#This Row],[PLANT_COST]]*Int_breweries[[#This Row],[QUANTITY]]</f>
        <v>204500</v>
      </c>
      <c r="I717" s="1">
        <v>409000</v>
      </c>
      <c r="J717" s="1">
        <v>204500</v>
      </c>
      <c r="K717" s="1" t="s">
        <v>14</v>
      </c>
      <c r="L717" t="s">
        <v>62</v>
      </c>
      <c r="M717" s="1" t="s">
        <v>38</v>
      </c>
      <c r="N717" s="1">
        <v>2018</v>
      </c>
      <c r="O717" t="str" cm="1">
        <f t="array" ref="O717">_xlfn.IFS(OR($K717="Ghana", $K717="Nigeria"), "Anglophone", OR($K717="Togo", $K717="Benin", $K717="Senegal"), "Francophone")</f>
        <v>Anglophone</v>
      </c>
      <c r="P717" s="1" t="str">
        <f>LEFT(Int_breweries[[#This Row],[MONTHS]], 3)</f>
        <v>Aug</v>
      </c>
    </row>
    <row r="718" spans="1:16" ht="12.5" x14ac:dyDescent="0.25">
      <c r="A718" s="1">
        <v>10817</v>
      </c>
      <c r="B718" s="1" t="s">
        <v>22</v>
      </c>
      <c r="C718" s="1" t="s">
        <v>23</v>
      </c>
      <c r="D718" t="s">
        <v>65</v>
      </c>
      <c r="E718" s="1">
        <v>180</v>
      </c>
      <c r="F718" s="1">
        <v>450</v>
      </c>
      <c r="G718" s="1">
        <v>828</v>
      </c>
      <c r="H718" s="1">
        <f>Int_breweries[[#This Row],[PLANT_COST]]*Int_breweries[[#This Row],[QUANTITY]]</f>
        <v>149040</v>
      </c>
      <c r="I718" s="1">
        <v>372600</v>
      </c>
      <c r="J718" s="1">
        <v>223560</v>
      </c>
      <c r="K718" s="1" t="s">
        <v>19</v>
      </c>
      <c r="L718" t="s">
        <v>15</v>
      </c>
      <c r="M718" s="1" t="s">
        <v>41</v>
      </c>
      <c r="N718" s="1">
        <v>2017</v>
      </c>
      <c r="O718" t="str" cm="1">
        <f t="array" ref="O718">_xlfn.IFS(OR($K718="Ghana", $K718="Nigeria"), "Anglophone", OR($K718="Togo", $K718="Benin", $K718="Senegal"), "Francophone")</f>
        <v>Anglophone</v>
      </c>
      <c r="P718" s="1" t="str">
        <f>LEFT(Int_breweries[[#This Row],[MONTHS]], 3)</f>
        <v>Sep</v>
      </c>
    </row>
    <row r="719" spans="1:16" ht="12.5" x14ac:dyDescent="0.25">
      <c r="A719" s="1">
        <v>10818</v>
      </c>
      <c r="B719" s="1" t="s">
        <v>17</v>
      </c>
      <c r="C719" s="1" t="s">
        <v>18</v>
      </c>
      <c r="D719" t="s">
        <v>66</v>
      </c>
      <c r="E719" s="1">
        <v>170</v>
      </c>
      <c r="F719" s="1">
        <v>250</v>
      </c>
      <c r="G719" s="1">
        <v>758</v>
      </c>
      <c r="H719" s="1">
        <f>Int_breweries[[#This Row],[PLANT_COST]]*Int_breweries[[#This Row],[QUANTITY]]</f>
        <v>128860</v>
      </c>
      <c r="I719" s="1">
        <v>189500</v>
      </c>
      <c r="J719" s="1">
        <v>60640</v>
      </c>
      <c r="K719" s="1" t="s">
        <v>24</v>
      </c>
      <c r="L719" t="s">
        <v>58</v>
      </c>
      <c r="M719" s="1" t="s">
        <v>44</v>
      </c>
      <c r="N719" s="1">
        <v>2017</v>
      </c>
      <c r="O719" t="str" cm="1">
        <f t="array" ref="O719">_xlfn.IFS(OR($K719="Ghana", $K719="Nigeria"), "Anglophone", OR($K719="Togo", $K719="Benin", $K719="Senegal"), "Francophone")</f>
        <v>Francophone</v>
      </c>
      <c r="P719" s="1" t="str">
        <f>LEFT(Int_breweries[[#This Row],[MONTHS]], 3)</f>
        <v>Oct</v>
      </c>
    </row>
    <row r="720" spans="1:16" ht="12.5" x14ac:dyDescent="0.25">
      <c r="A720" s="1">
        <v>10819</v>
      </c>
      <c r="B720" s="1" t="s">
        <v>22</v>
      </c>
      <c r="C720" s="1" t="s">
        <v>23</v>
      </c>
      <c r="D720" t="s">
        <v>67</v>
      </c>
      <c r="E720" s="1">
        <v>150</v>
      </c>
      <c r="F720" s="1">
        <v>200</v>
      </c>
      <c r="G720" s="1">
        <v>787</v>
      </c>
      <c r="H720" s="1">
        <f>Int_breweries[[#This Row],[PLANT_COST]]*Int_breweries[[#This Row],[QUANTITY]]</f>
        <v>118050</v>
      </c>
      <c r="I720" s="1">
        <v>157400</v>
      </c>
      <c r="J720" s="1">
        <v>39350</v>
      </c>
      <c r="K720" s="1" t="s">
        <v>28</v>
      </c>
      <c r="L720" t="s">
        <v>59</v>
      </c>
      <c r="M720" s="1" t="s">
        <v>47</v>
      </c>
      <c r="N720" s="1">
        <v>2018</v>
      </c>
      <c r="O720" t="str" cm="1">
        <f t="array" ref="O720">_xlfn.IFS(OR($K720="Ghana", $K720="Nigeria"), "Anglophone", OR($K720="Togo", $K720="Benin", $K720="Senegal"), "Francophone")</f>
        <v>Francophone</v>
      </c>
      <c r="P720" s="1" t="str">
        <f>LEFT(Int_breweries[[#This Row],[MONTHS]], 3)</f>
        <v>Nov</v>
      </c>
    </row>
    <row r="721" spans="1:16" ht="12.5" x14ac:dyDescent="0.25">
      <c r="A721" s="1">
        <v>10820</v>
      </c>
      <c r="B721" s="1" t="s">
        <v>35</v>
      </c>
      <c r="C721" s="1" t="s">
        <v>36</v>
      </c>
      <c r="D721" t="s">
        <v>68</v>
      </c>
      <c r="E721" s="1">
        <v>80</v>
      </c>
      <c r="F721" s="1">
        <v>150</v>
      </c>
      <c r="G721" s="1">
        <v>929</v>
      </c>
      <c r="H721" s="1">
        <f>Int_breweries[[#This Row],[PLANT_COST]]*Int_breweries[[#This Row],[QUANTITY]]</f>
        <v>74320</v>
      </c>
      <c r="I721" s="1">
        <v>139350</v>
      </c>
      <c r="J721" s="1">
        <v>65030</v>
      </c>
      <c r="K721" s="1" t="s">
        <v>32</v>
      </c>
      <c r="L721" t="s">
        <v>60</v>
      </c>
      <c r="M721" s="1" t="s">
        <v>48</v>
      </c>
      <c r="N721" s="1">
        <v>2019</v>
      </c>
      <c r="O721" t="str" cm="1">
        <f t="array" ref="O721">_xlfn.IFS(OR($K721="Ghana", $K721="Nigeria"), "Anglophone", OR($K721="Togo", $K721="Benin", $K721="Senegal"), "Francophone")</f>
        <v>Francophone</v>
      </c>
      <c r="P721" s="1" t="str">
        <f>LEFT(Int_breweries[[#This Row],[MONTHS]], 3)</f>
        <v>Dec</v>
      </c>
    </row>
    <row r="722" spans="1:16" ht="12.5" x14ac:dyDescent="0.25">
      <c r="A722" s="1">
        <v>10821</v>
      </c>
      <c r="B722" s="1" t="s">
        <v>30</v>
      </c>
      <c r="C722" s="1" t="s">
        <v>31</v>
      </c>
      <c r="D722" t="s">
        <v>69</v>
      </c>
      <c r="E722" s="1">
        <v>90</v>
      </c>
      <c r="F722" s="1">
        <v>150</v>
      </c>
      <c r="G722" s="1">
        <v>785</v>
      </c>
      <c r="H722" s="1">
        <f>Int_breweries[[#This Row],[PLANT_COST]]*Int_breweries[[#This Row],[QUANTITY]]</f>
        <v>70650</v>
      </c>
      <c r="I722" s="1">
        <v>117750</v>
      </c>
      <c r="J722" s="1">
        <v>47100</v>
      </c>
      <c r="K722" s="1" t="s">
        <v>14</v>
      </c>
      <c r="L722" t="s">
        <v>61</v>
      </c>
      <c r="M722" s="1" t="s">
        <v>16</v>
      </c>
      <c r="N722" s="1">
        <v>2019</v>
      </c>
      <c r="O722" t="str" cm="1">
        <f t="array" ref="O722">_xlfn.IFS(OR($K722="Ghana", $K722="Nigeria"), "Anglophone", OR($K722="Togo", $K722="Benin", $K722="Senegal"), "Francophone")</f>
        <v>Anglophone</v>
      </c>
      <c r="P722" s="1" t="str">
        <f>LEFT(Int_breweries[[#This Row],[MONTHS]], 3)</f>
        <v>Jan</v>
      </c>
    </row>
    <row r="723" spans="1:16" ht="12.5" x14ac:dyDescent="0.25">
      <c r="A723" s="1">
        <v>10822</v>
      </c>
      <c r="B723" s="1" t="s">
        <v>12</v>
      </c>
      <c r="C723" s="1" t="s">
        <v>13</v>
      </c>
      <c r="D723" t="s">
        <v>63</v>
      </c>
      <c r="E723" s="1">
        <v>150</v>
      </c>
      <c r="F723" s="1">
        <v>200</v>
      </c>
      <c r="G723" s="1">
        <v>701</v>
      </c>
      <c r="H723" s="1">
        <f>Int_breweries[[#This Row],[PLANT_COST]]*Int_breweries[[#This Row],[QUANTITY]]</f>
        <v>105150</v>
      </c>
      <c r="I723" s="1">
        <v>140200</v>
      </c>
      <c r="J723" s="1">
        <v>35050</v>
      </c>
      <c r="K723" s="1" t="s">
        <v>19</v>
      </c>
      <c r="L723" t="s">
        <v>62</v>
      </c>
      <c r="M723" s="1" t="s">
        <v>21</v>
      </c>
      <c r="N723" s="1">
        <v>2017</v>
      </c>
      <c r="O723" t="str" cm="1">
        <f t="array" ref="O723">_xlfn.IFS(OR($K723="Ghana", $K723="Nigeria"), "Anglophone", OR($K723="Togo", $K723="Benin", $K723="Senegal"), "Francophone")</f>
        <v>Anglophone</v>
      </c>
      <c r="P723" s="1" t="str">
        <f>LEFT(Int_breweries[[#This Row],[MONTHS]], 3)</f>
        <v>Feb</v>
      </c>
    </row>
    <row r="724" spans="1:16" ht="12.5" x14ac:dyDescent="0.25">
      <c r="A724" s="1">
        <v>10823</v>
      </c>
      <c r="B724" s="1" t="s">
        <v>12</v>
      </c>
      <c r="C724" s="1" t="s">
        <v>13</v>
      </c>
      <c r="D724" t="s">
        <v>64</v>
      </c>
      <c r="E724" s="1">
        <v>250</v>
      </c>
      <c r="F724" s="1">
        <v>500</v>
      </c>
      <c r="G724" s="1">
        <v>757</v>
      </c>
      <c r="H724" s="1">
        <f>Int_breweries[[#This Row],[PLANT_COST]]*Int_breweries[[#This Row],[QUANTITY]]</f>
        <v>189250</v>
      </c>
      <c r="I724" s="1">
        <v>378500</v>
      </c>
      <c r="J724" s="1">
        <v>189250</v>
      </c>
      <c r="K724" s="1" t="s">
        <v>24</v>
      </c>
      <c r="L724" t="s">
        <v>15</v>
      </c>
      <c r="M724" s="1" t="s">
        <v>25</v>
      </c>
      <c r="N724" s="1">
        <v>2019</v>
      </c>
      <c r="O724" t="str" cm="1">
        <f t="array" ref="O724">_xlfn.IFS(OR($K724="Ghana", $K724="Nigeria"), "Anglophone", OR($K724="Togo", $K724="Benin", $K724="Senegal"), "Francophone")</f>
        <v>Francophone</v>
      </c>
      <c r="P724" s="1" t="str">
        <f>LEFT(Int_breweries[[#This Row],[MONTHS]], 3)</f>
        <v>Mar</v>
      </c>
    </row>
    <row r="725" spans="1:16" ht="12.5" x14ac:dyDescent="0.25">
      <c r="A725" s="1">
        <v>10824</v>
      </c>
      <c r="B725" s="1" t="s">
        <v>30</v>
      </c>
      <c r="C725" s="1" t="s">
        <v>31</v>
      </c>
      <c r="D725" t="s">
        <v>65</v>
      </c>
      <c r="E725" s="1">
        <v>180</v>
      </c>
      <c r="F725" s="1">
        <v>450</v>
      </c>
      <c r="G725" s="1">
        <v>810</v>
      </c>
      <c r="H725" s="1">
        <f>Int_breweries[[#This Row],[PLANT_COST]]*Int_breweries[[#This Row],[QUANTITY]]</f>
        <v>145800</v>
      </c>
      <c r="I725" s="1">
        <v>364500</v>
      </c>
      <c r="J725" s="1">
        <v>218700</v>
      </c>
      <c r="K725" s="1" t="s">
        <v>28</v>
      </c>
      <c r="L725" t="s">
        <v>58</v>
      </c>
      <c r="M725" s="1" t="s">
        <v>29</v>
      </c>
      <c r="N725" s="1">
        <v>2019</v>
      </c>
      <c r="O725" t="str" cm="1">
        <f t="array" ref="O725">_xlfn.IFS(OR($K725="Ghana", $K725="Nigeria"), "Anglophone", OR($K725="Togo", $K725="Benin", $K725="Senegal"), "Francophone")</f>
        <v>Francophone</v>
      </c>
      <c r="P725" s="1" t="str">
        <f>LEFT(Int_breweries[[#This Row],[MONTHS]], 3)</f>
        <v>Apr</v>
      </c>
    </row>
    <row r="726" spans="1:16" ht="12.5" x14ac:dyDescent="0.25">
      <c r="A726" s="1">
        <v>10825</v>
      </c>
      <c r="B726" s="1" t="s">
        <v>26</v>
      </c>
      <c r="C726" s="1" t="s">
        <v>27</v>
      </c>
      <c r="D726" t="s">
        <v>66</v>
      </c>
      <c r="E726" s="1">
        <v>170</v>
      </c>
      <c r="F726" s="1">
        <v>250</v>
      </c>
      <c r="G726" s="1">
        <v>874</v>
      </c>
      <c r="H726" s="1">
        <f>Int_breweries[[#This Row],[PLANT_COST]]*Int_breweries[[#This Row],[QUANTITY]]</f>
        <v>148580</v>
      </c>
      <c r="I726" s="1">
        <v>218500</v>
      </c>
      <c r="J726" s="1">
        <v>69920</v>
      </c>
      <c r="K726" s="1" t="s">
        <v>32</v>
      </c>
      <c r="L726" t="s">
        <v>59</v>
      </c>
      <c r="M726" s="1" t="s">
        <v>33</v>
      </c>
      <c r="N726" s="1">
        <v>2017</v>
      </c>
      <c r="O726" t="str" cm="1">
        <f t="array" ref="O726">_xlfn.IFS(OR($K726="Ghana", $K726="Nigeria"), "Anglophone", OR($K726="Togo", $K726="Benin", $K726="Senegal"), "Francophone")</f>
        <v>Francophone</v>
      </c>
      <c r="P726" s="1" t="str">
        <f>LEFT(Int_breweries[[#This Row],[MONTHS]], 3)</f>
        <v>May</v>
      </c>
    </row>
    <row r="727" spans="1:16" ht="12.5" x14ac:dyDescent="0.25">
      <c r="A727" s="1">
        <v>10826</v>
      </c>
      <c r="B727" s="1" t="s">
        <v>39</v>
      </c>
      <c r="C727" s="1" t="s">
        <v>40</v>
      </c>
      <c r="D727" t="s">
        <v>67</v>
      </c>
      <c r="E727" s="1">
        <v>150</v>
      </c>
      <c r="F727" s="1">
        <v>200</v>
      </c>
      <c r="G727" s="1">
        <v>820</v>
      </c>
      <c r="H727" s="1">
        <f>Int_breweries[[#This Row],[PLANT_COST]]*Int_breweries[[#This Row],[QUANTITY]]</f>
        <v>123000</v>
      </c>
      <c r="I727" s="1">
        <v>164000</v>
      </c>
      <c r="J727" s="1">
        <v>41000</v>
      </c>
      <c r="K727" s="1" t="s">
        <v>14</v>
      </c>
      <c r="L727" t="s">
        <v>60</v>
      </c>
      <c r="M727" s="1" t="s">
        <v>34</v>
      </c>
      <c r="N727" s="1">
        <v>2018</v>
      </c>
      <c r="O727" t="str" cm="1">
        <f t="array" ref="O727">_xlfn.IFS(OR($K727="Ghana", $K727="Nigeria"), "Anglophone", OR($K727="Togo", $K727="Benin", $K727="Senegal"), "Francophone")</f>
        <v>Anglophone</v>
      </c>
      <c r="P727" s="1" t="str">
        <f>LEFT(Int_breweries[[#This Row],[MONTHS]], 3)</f>
        <v>Jun</v>
      </c>
    </row>
    <row r="728" spans="1:16" ht="12.5" x14ac:dyDescent="0.25">
      <c r="A728" s="1">
        <v>10827</v>
      </c>
      <c r="B728" s="1" t="s">
        <v>51</v>
      </c>
      <c r="C728" s="1" t="s">
        <v>52</v>
      </c>
      <c r="D728" t="s">
        <v>68</v>
      </c>
      <c r="E728" s="1">
        <v>80</v>
      </c>
      <c r="F728" s="1">
        <v>150</v>
      </c>
      <c r="G728" s="1">
        <v>874</v>
      </c>
      <c r="H728" s="1">
        <f>Int_breweries[[#This Row],[PLANT_COST]]*Int_breweries[[#This Row],[QUANTITY]]</f>
        <v>69920</v>
      </c>
      <c r="I728" s="1">
        <v>131100</v>
      </c>
      <c r="J728" s="1">
        <v>61180</v>
      </c>
      <c r="K728" s="1" t="s">
        <v>19</v>
      </c>
      <c r="L728" t="s">
        <v>61</v>
      </c>
      <c r="M728" s="1" t="s">
        <v>37</v>
      </c>
      <c r="N728" s="1">
        <v>2018</v>
      </c>
      <c r="O728" t="str" cm="1">
        <f t="array" ref="O728">_xlfn.IFS(OR($K728="Ghana", $K728="Nigeria"), "Anglophone", OR($K728="Togo", $K728="Benin", $K728="Senegal"), "Francophone")</f>
        <v>Anglophone</v>
      </c>
      <c r="P728" s="1" t="str">
        <f>LEFT(Int_breweries[[#This Row],[MONTHS]], 3)</f>
        <v>Jul</v>
      </c>
    </row>
    <row r="729" spans="1:16" ht="12.5" x14ac:dyDescent="0.25">
      <c r="A729" s="1">
        <v>10828</v>
      </c>
      <c r="B729" s="1" t="s">
        <v>22</v>
      </c>
      <c r="C729" s="1" t="s">
        <v>23</v>
      </c>
      <c r="D729" t="s">
        <v>69</v>
      </c>
      <c r="E729" s="1">
        <v>90</v>
      </c>
      <c r="F729" s="1">
        <v>150</v>
      </c>
      <c r="G729" s="1">
        <v>958</v>
      </c>
      <c r="H729" s="1">
        <f>Int_breweries[[#This Row],[PLANT_COST]]*Int_breweries[[#This Row],[QUANTITY]]</f>
        <v>86220</v>
      </c>
      <c r="I729" s="1">
        <v>143700</v>
      </c>
      <c r="J729" s="1">
        <v>57480</v>
      </c>
      <c r="K729" s="1" t="s">
        <v>24</v>
      </c>
      <c r="L729" t="s">
        <v>62</v>
      </c>
      <c r="M729" s="1" t="s">
        <v>38</v>
      </c>
      <c r="N729" s="1">
        <v>2019</v>
      </c>
      <c r="O729" t="str" cm="1">
        <f t="array" ref="O729">_xlfn.IFS(OR($K729="Ghana", $K729="Nigeria"), "Anglophone", OR($K729="Togo", $K729="Benin", $K729="Senegal"), "Francophone")</f>
        <v>Francophone</v>
      </c>
      <c r="P729" s="1" t="str">
        <f>LEFT(Int_breweries[[#This Row],[MONTHS]], 3)</f>
        <v>Aug</v>
      </c>
    </row>
    <row r="730" spans="1:16" ht="12.5" x14ac:dyDescent="0.25">
      <c r="A730" s="1">
        <v>10829</v>
      </c>
      <c r="B730" s="1" t="s">
        <v>17</v>
      </c>
      <c r="C730" s="1" t="s">
        <v>18</v>
      </c>
      <c r="D730" t="s">
        <v>63</v>
      </c>
      <c r="E730" s="1">
        <v>150</v>
      </c>
      <c r="F730" s="1">
        <v>200</v>
      </c>
      <c r="G730" s="1">
        <v>742</v>
      </c>
      <c r="H730" s="1">
        <f>Int_breweries[[#This Row],[PLANT_COST]]*Int_breweries[[#This Row],[QUANTITY]]</f>
        <v>111300</v>
      </c>
      <c r="I730" s="1">
        <v>148400</v>
      </c>
      <c r="J730" s="1">
        <v>37100</v>
      </c>
      <c r="K730" s="1" t="s">
        <v>28</v>
      </c>
      <c r="L730" t="s">
        <v>15</v>
      </c>
      <c r="M730" s="1" t="s">
        <v>41</v>
      </c>
      <c r="N730" s="1">
        <v>2018</v>
      </c>
      <c r="O730" t="str" cm="1">
        <f t="array" ref="O730">_xlfn.IFS(OR($K730="Ghana", $K730="Nigeria"), "Anglophone", OR($K730="Togo", $K730="Benin", $K730="Senegal"), "Francophone")</f>
        <v>Francophone</v>
      </c>
      <c r="P730" s="1" t="str">
        <f>LEFT(Int_breweries[[#This Row],[MONTHS]], 3)</f>
        <v>Sep</v>
      </c>
    </row>
    <row r="731" spans="1:16" ht="12.5" x14ac:dyDescent="0.25">
      <c r="A731" s="1">
        <v>10830</v>
      </c>
      <c r="B731" s="1" t="s">
        <v>22</v>
      </c>
      <c r="C731" s="1" t="s">
        <v>23</v>
      </c>
      <c r="D731" t="s">
        <v>64</v>
      </c>
      <c r="E731" s="1">
        <v>250</v>
      </c>
      <c r="F731" s="1">
        <v>500</v>
      </c>
      <c r="G731" s="1">
        <v>973</v>
      </c>
      <c r="H731" s="1">
        <f>Int_breweries[[#This Row],[PLANT_COST]]*Int_breweries[[#This Row],[QUANTITY]]</f>
        <v>243250</v>
      </c>
      <c r="I731" s="1">
        <v>486500</v>
      </c>
      <c r="J731" s="1">
        <v>243250</v>
      </c>
      <c r="K731" s="1" t="s">
        <v>32</v>
      </c>
      <c r="L731" t="s">
        <v>58</v>
      </c>
      <c r="M731" s="1" t="s">
        <v>44</v>
      </c>
      <c r="N731" s="1">
        <v>2018</v>
      </c>
      <c r="O731" t="str" cm="1">
        <f t="array" ref="O731">_xlfn.IFS(OR($K731="Ghana", $K731="Nigeria"), "Anglophone", OR($K731="Togo", $K731="Benin", $K731="Senegal"), "Francophone")</f>
        <v>Francophone</v>
      </c>
      <c r="P731" s="1" t="str">
        <f>LEFT(Int_breweries[[#This Row],[MONTHS]], 3)</f>
        <v>Oct</v>
      </c>
    </row>
    <row r="732" spans="1:16" ht="12.5" x14ac:dyDescent="0.25">
      <c r="A732" s="1">
        <v>10831</v>
      </c>
      <c r="B732" s="1" t="s">
        <v>35</v>
      </c>
      <c r="C732" s="1" t="s">
        <v>36</v>
      </c>
      <c r="D732" t="s">
        <v>65</v>
      </c>
      <c r="E732" s="1">
        <v>180</v>
      </c>
      <c r="F732" s="1">
        <v>450</v>
      </c>
      <c r="G732" s="1">
        <v>961</v>
      </c>
      <c r="H732" s="1">
        <f>Int_breweries[[#This Row],[PLANT_COST]]*Int_breweries[[#This Row],[QUANTITY]]</f>
        <v>172980</v>
      </c>
      <c r="I732" s="1">
        <v>432450</v>
      </c>
      <c r="J732" s="1">
        <v>259470</v>
      </c>
      <c r="K732" s="1" t="s">
        <v>14</v>
      </c>
      <c r="L732" t="s">
        <v>59</v>
      </c>
      <c r="M732" s="1" t="s">
        <v>47</v>
      </c>
      <c r="N732" s="1">
        <v>2017</v>
      </c>
      <c r="O732" t="str" cm="1">
        <f t="array" ref="O732">_xlfn.IFS(OR($K732="Ghana", $K732="Nigeria"), "Anglophone", OR($K732="Togo", $K732="Benin", $K732="Senegal"), "Francophone")</f>
        <v>Anglophone</v>
      </c>
      <c r="P732" s="1" t="str">
        <f>LEFT(Int_breweries[[#This Row],[MONTHS]], 3)</f>
        <v>Nov</v>
      </c>
    </row>
    <row r="733" spans="1:16" ht="12.5" x14ac:dyDescent="0.25">
      <c r="A733" s="1">
        <v>10832</v>
      </c>
      <c r="B733" s="1" t="s">
        <v>30</v>
      </c>
      <c r="C733" s="1" t="s">
        <v>31</v>
      </c>
      <c r="D733" t="s">
        <v>66</v>
      </c>
      <c r="E733" s="1">
        <v>170</v>
      </c>
      <c r="F733" s="1">
        <v>250</v>
      </c>
      <c r="G733" s="1">
        <v>752</v>
      </c>
      <c r="H733" s="1">
        <f>Int_breweries[[#This Row],[PLANT_COST]]*Int_breweries[[#This Row],[QUANTITY]]</f>
        <v>127840</v>
      </c>
      <c r="I733" s="1">
        <v>188000</v>
      </c>
      <c r="J733" s="1">
        <v>60160</v>
      </c>
      <c r="K733" s="1" t="s">
        <v>19</v>
      </c>
      <c r="L733" t="s">
        <v>60</v>
      </c>
      <c r="M733" s="1" t="s">
        <v>48</v>
      </c>
      <c r="N733" s="1">
        <v>2017</v>
      </c>
      <c r="O733" t="str" cm="1">
        <f t="array" ref="O733">_xlfn.IFS(OR($K733="Ghana", $K733="Nigeria"), "Anglophone", OR($K733="Togo", $K733="Benin", $K733="Senegal"), "Francophone")</f>
        <v>Anglophone</v>
      </c>
      <c r="P733" s="1" t="str">
        <f>LEFT(Int_breweries[[#This Row],[MONTHS]], 3)</f>
        <v>Dec</v>
      </c>
    </row>
    <row r="734" spans="1:16" ht="12.5" x14ac:dyDescent="0.25">
      <c r="A734" s="1">
        <v>10833</v>
      </c>
      <c r="B734" s="1" t="s">
        <v>12</v>
      </c>
      <c r="C734" s="1" t="s">
        <v>13</v>
      </c>
      <c r="D734" t="s">
        <v>67</v>
      </c>
      <c r="E734" s="1">
        <v>150</v>
      </c>
      <c r="F734" s="1">
        <v>200</v>
      </c>
      <c r="G734" s="1">
        <v>938</v>
      </c>
      <c r="H734" s="1">
        <f>Int_breweries[[#This Row],[PLANT_COST]]*Int_breweries[[#This Row],[QUANTITY]]</f>
        <v>140700</v>
      </c>
      <c r="I734" s="1">
        <v>187600</v>
      </c>
      <c r="J734" s="1">
        <v>46900</v>
      </c>
      <c r="K734" s="1" t="s">
        <v>24</v>
      </c>
      <c r="L734" t="s">
        <v>61</v>
      </c>
      <c r="M734" s="1" t="s">
        <v>16</v>
      </c>
      <c r="N734" s="1">
        <v>2018</v>
      </c>
      <c r="O734" t="str" cm="1">
        <f t="array" ref="O734">_xlfn.IFS(OR($K734="Ghana", $K734="Nigeria"), "Anglophone", OR($K734="Togo", $K734="Benin", $K734="Senegal"), "Francophone")</f>
        <v>Francophone</v>
      </c>
      <c r="P734" s="1" t="str">
        <f>LEFT(Int_breweries[[#This Row],[MONTHS]], 3)</f>
        <v>Jan</v>
      </c>
    </row>
    <row r="735" spans="1:16" ht="12.5" x14ac:dyDescent="0.25">
      <c r="A735" s="1">
        <v>10834</v>
      </c>
      <c r="B735" s="1" t="s">
        <v>12</v>
      </c>
      <c r="C735" s="1" t="s">
        <v>13</v>
      </c>
      <c r="D735" t="s">
        <v>68</v>
      </c>
      <c r="E735" s="1">
        <v>80</v>
      </c>
      <c r="F735" s="1">
        <v>150</v>
      </c>
      <c r="G735" s="1">
        <v>777</v>
      </c>
      <c r="H735" s="1">
        <f>Int_breweries[[#This Row],[PLANT_COST]]*Int_breweries[[#This Row],[QUANTITY]]</f>
        <v>62160</v>
      </c>
      <c r="I735" s="1">
        <v>116550</v>
      </c>
      <c r="J735" s="1">
        <v>54390</v>
      </c>
      <c r="K735" s="1" t="s">
        <v>28</v>
      </c>
      <c r="L735" t="s">
        <v>62</v>
      </c>
      <c r="M735" s="1" t="s">
        <v>21</v>
      </c>
      <c r="N735" s="1">
        <v>2018</v>
      </c>
      <c r="O735" t="str" cm="1">
        <f t="array" ref="O735">_xlfn.IFS(OR($K735="Ghana", $K735="Nigeria"), "Anglophone", OR($K735="Togo", $K735="Benin", $K735="Senegal"), "Francophone")</f>
        <v>Francophone</v>
      </c>
      <c r="P735" s="1" t="str">
        <f>LEFT(Int_breweries[[#This Row],[MONTHS]], 3)</f>
        <v>Feb</v>
      </c>
    </row>
    <row r="736" spans="1:16" ht="12.5" x14ac:dyDescent="0.25">
      <c r="A736" s="1">
        <v>10835</v>
      </c>
      <c r="B736" s="1" t="s">
        <v>30</v>
      </c>
      <c r="C736" s="1" t="s">
        <v>31</v>
      </c>
      <c r="D736" t="s">
        <v>69</v>
      </c>
      <c r="E736" s="1">
        <v>90</v>
      </c>
      <c r="F736" s="1">
        <v>150</v>
      </c>
      <c r="G736" s="1">
        <v>855</v>
      </c>
      <c r="H736" s="1">
        <f>Int_breweries[[#This Row],[PLANT_COST]]*Int_breweries[[#This Row],[QUANTITY]]</f>
        <v>76950</v>
      </c>
      <c r="I736" s="1">
        <v>128250</v>
      </c>
      <c r="J736" s="1">
        <v>51300</v>
      </c>
      <c r="K736" s="1" t="s">
        <v>32</v>
      </c>
      <c r="L736" t="s">
        <v>15</v>
      </c>
      <c r="M736" s="1" t="s">
        <v>25</v>
      </c>
      <c r="N736" s="1">
        <v>2018</v>
      </c>
      <c r="O736" t="str" cm="1">
        <f t="array" ref="O736">_xlfn.IFS(OR($K736="Ghana", $K736="Nigeria"), "Anglophone", OR($K736="Togo", $K736="Benin", $K736="Senegal"), "Francophone")</f>
        <v>Francophone</v>
      </c>
      <c r="P736" s="1" t="str">
        <f>LEFT(Int_breweries[[#This Row],[MONTHS]], 3)</f>
        <v>Mar</v>
      </c>
    </row>
    <row r="737" spans="1:16" ht="12.5" x14ac:dyDescent="0.25">
      <c r="A737" s="1">
        <v>10836</v>
      </c>
      <c r="B737" s="1" t="s">
        <v>12</v>
      </c>
      <c r="C737" s="1" t="s">
        <v>13</v>
      </c>
      <c r="D737" t="s">
        <v>63</v>
      </c>
      <c r="E737" s="1">
        <v>150</v>
      </c>
      <c r="F737" s="1">
        <v>200</v>
      </c>
      <c r="G737" s="1">
        <v>870</v>
      </c>
      <c r="H737" s="1">
        <f>Int_breweries[[#This Row],[PLANT_COST]]*Int_breweries[[#This Row],[QUANTITY]]</f>
        <v>130500</v>
      </c>
      <c r="I737" s="1">
        <v>174000</v>
      </c>
      <c r="J737" s="1">
        <v>43500</v>
      </c>
      <c r="K737" s="1" t="s">
        <v>14</v>
      </c>
      <c r="L737" t="s">
        <v>58</v>
      </c>
      <c r="M737" s="1" t="s">
        <v>29</v>
      </c>
      <c r="N737" s="1">
        <v>2017</v>
      </c>
      <c r="O737" t="str" cm="1">
        <f t="array" ref="O737">_xlfn.IFS(OR($K737="Ghana", $K737="Nigeria"), "Anglophone", OR($K737="Togo", $K737="Benin", $K737="Senegal"), "Francophone")</f>
        <v>Anglophone</v>
      </c>
      <c r="P737" s="1" t="str">
        <f>LEFT(Int_breweries[[#This Row],[MONTHS]], 3)</f>
        <v>Apr</v>
      </c>
    </row>
    <row r="738" spans="1:16" ht="12.5" x14ac:dyDescent="0.25">
      <c r="A738" s="1">
        <v>10837</v>
      </c>
      <c r="B738" s="1" t="s">
        <v>17</v>
      </c>
      <c r="C738" s="1" t="s">
        <v>18</v>
      </c>
      <c r="D738" t="s">
        <v>64</v>
      </c>
      <c r="E738" s="1">
        <v>250</v>
      </c>
      <c r="F738" s="1">
        <v>500</v>
      </c>
      <c r="G738" s="1">
        <v>922</v>
      </c>
      <c r="H738" s="1">
        <f>Int_breweries[[#This Row],[PLANT_COST]]*Int_breweries[[#This Row],[QUANTITY]]</f>
        <v>230500</v>
      </c>
      <c r="I738" s="1">
        <v>461000</v>
      </c>
      <c r="J738" s="1">
        <v>230500</v>
      </c>
      <c r="K738" s="1" t="s">
        <v>19</v>
      </c>
      <c r="L738" t="s">
        <v>59</v>
      </c>
      <c r="M738" s="1" t="s">
        <v>33</v>
      </c>
      <c r="N738" s="1">
        <v>2018</v>
      </c>
      <c r="O738" t="str" cm="1">
        <f t="array" ref="O738">_xlfn.IFS(OR($K738="Ghana", $K738="Nigeria"), "Anglophone", OR($K738="Togo", $K738="Benin", $K738="Senegal"), "Francophone")</f>
        <v>Anglophone</v>
      </c>
      <c r="P738" s="1" t="str">
        <f>LEFT(Int_breweries[[#This Row],[MONTHS]], 3)</f>
        <v>May</v>
      </c>
    </row>
    <row r="739" spans="1:16" ht="12.5" x14ac:dyDescent="0.25">
      <c r="A739" s="1">
        <v>10838</v>
      </c>
      <c r="B739" s="1" t="s">
        <v>22</v>
      </c>
      <c r="C739" s="1" t="s">
        <v>23</v>
      </c>
      <c r="D739" t="s">
        <v>65</v>
      </c>
      <c r="E739" s="1">
        <v>180</v>
      </c>
      <c r="F739" s="1">
        <v>450</v>
      </c>
      <c r="G739" s="1">
        <v>856</v>
      </c>
      <c r="H739" s="1">
        <f>Int_breweries[[#This Row],[PLANT_COST]]*Int_breweries[[#This Row],[QUANTITY]]</f>
        <v>154080</v>
      </c>
      <c r="I739" s="1">
        <v>385200</v>
      </c>
      <c r="J739" s="1">
        <v>231120</v>
      </c>
      <c r="K739" s="1" t="s">
        <v>24</v>
      </c>
      <c r="L739" t="s">
        <v>60</v>
      </c>
      <c r="M739" s="1" t="s">
        <v>34</v>
      </c>
      <c r="N739" s="1">
        <v>2018</v>
      </c>
      <c r="O739" t="str" cm="1">
        <f t="array" ref="O739">_xlfn.IFS(OR($K739="Ghana", $K739="Nigeria"), "Anglophone", OR($K739="Togo", $K739="Benin", $K739="Senegal"), "Francophone")</f>
        <v>Francophone</v>
      </c>
      <c r="P739" s="1" t="str">
        <f>LEFT(Int_breweries[[#This Row],[MONTHS]], 3)</f>
        <v>Jun</v>
      </c>
    </row>
    <row r="740" spans="1:16" ht="12.5" x14ac:dyDescent="0.25">
      <c r="A740" s="1">
        <v>10839</v>
      </c>
      <c r="B740" s="1" t="s">
        <v>26</v>
      </c>
      <c r="C740" s="1" t="s">
        <v>27</v>
      </c>
      <c r="D740" t="s">
        <v>66</v>
      </c>
      <c r="E740" s="1">
        <v>170</v>
      </c>
      <c r="F740" s="1">
        <v>250</v>
      </c>
      <c r="G740" s="1">
        <v>852</v>
      </c>
      <c r="H740" s="1">
        <f>Int_breweries[[#This Row],[PLANT_COST]]*Int_breweries[[#This Row],[QUANTITY]]</f>
        <v>144840</v>
      </c>
      <c r="I740" s="1">
        <v>213000</v>
      </c>
      <c r="J740" s="1">
        <v>68160</v>
      </c>
      <c r="K740" s="1" t="s">
        <v>28</v>
      </c>
      <c r="L740" t="s">
        <v>61</v>
      </c>
      <c r="M740" s="1" t="s">
        <v>37</v>
      </c>
      <c r="N740" s="1">
        <v>2018</v>
      </c>
      <c r="O740" t="str" cm="1">
        <f t="array" ref="O740">_xlfn.IFS(OR($K740="Ghana", $K740="Nigeria"), "Anglophone", OR($K740="Togo", $K740="Benin", $K740="Senegal"), "Francophone")</f>
        <v>Francophone</v>
      </c>
      <c r="P740" s="1" t="str">
        <f>LEFT(Int_breweries[[#This Row],[MONTHS]], 3)</f>
        <v>Jul</v>
      </c>
    </row>
    <row r="741" spans="1:16" ht="12.5" x14ac:dyDescent="0.25">
      <c r="A741" s="1">
        <v>10840</v>
      </c>
      <c r="B741" s="1" t="s">
        <v>30</v>
      </c>
      <c r="C741" s="1" t="s">
        <v>31</v>
      </c>
      <c r="D741" t="s">
        <v>67</v>
      </c>
      <c r="E741" s="1">
        <v>150</v>
      </c>
      <c r="F741" s="1">
        <v>200</v>
      </c>
      <c r="G741" s="1">
        <v>981</v>
      </c>
      <c r="H741" s="1">
        <f>Int_breweries[[#This Row],[PLANT_COST]]*Int_breweries[[#This Row],[QUANTITY]]</f>
        <v>147150</v>
      </c>
      <c r="I741" s="1">
        <v>196200</v>
      </c>
      <c r="J741" s="1">
        <v>49050</v>
      </c>
      <c r="K741" s="1" t="s">
        <v>32</v>
      </c>
      <c r="L741" t="s">
        <v>62</v>
      </c>
      <c r="M741" s="1" t="s">
        <v>38</v>
      </c>
      <c r="N741" s="1">
        <v>2018</v>
      </c>
      <c r="O741" t="str" cm="1">
        <f t="array" ref="O741">_xlfn.IFS(OR($K741="Ghana", $K741="Nigeria"), "Anglophone", OR($K741="Togo", $K741="Benin", $K741="Senegal"), "Francophone")</f>
        <v>Francophone</v>
      </c>
      <c r="P741" s="1" t="str">
        <f>LEFT(Int_breweries[[#This Row],[MONTHS]], 3)</f>
        <v>Aug</v>
      </c>
    </row>
    <row r="742" spans="1:16" ht="12.5" x14ac:dyDescent="0.25">
      <c r="A742" s="1">
        <v>10841</v>
      </c>
      <c r="B742" s="1" t="s">
        <v>12</v>
      </c>
      <c r="C742" s="1" t="s">
        <v>13</v>
      </c>
      <c r="D742" t="s">
        <v>68</v>
      </c>
      <c r="E742" s="1">
        <v>80</v>
      </c>
      <c r="F742" s="1">
        <v>150</v>
      </c>
      <c r="G742" s="1">
        <v>910</v>
      </c>
      <c r="H742" s="1">
        <f>Int_breweries[[#This Row],[PLANT_COST]]*Int_breweries[[#This Row],[QUANTITY]]</f>
        <v>72800</v>
      </c>
      <c r="I742" s="1">
        <v>136500</v>
      </c>
      <c r="J742" s="1">
        <v>63700</v>
      </c>
      <c r="K742" s="1" t="s">
        <v>14</v>
      </c>
      <c r="L742" t="s">
        <v>15</v>
      </c>
      <c r="M742" s="1" t="s">
        <v>41</v>
      </c>
      <c r="N742" s="1">
        <v>2017</v>
      </c>
      <c r="O742" t="str" cm="1">
        <f t="array" ref="O742">_xlfn.IFS(OR($K742="Ghana", $K742="Nigeria"), "Anglophone", OR($K742="Togo", $K742="Benin", $K742="Senegal"), "Francophone")</f>
        <v>Anglophone</v>
      </c>
      <c r="P742" s="1" t="str">
        <f>LEFT(Int_breweries[[#This Row],[MONTHS]], 3)</f>
        <v>Sep</v>
      </c>
    </row>
    <row r="743" spans="1:16" ht="12.5" x14ac:dyDescent="0.25">
      <c r="A743" s="1">
        <v>10842</v>
      </c>
      <c r="B743" s="1" t="s">
        <v>35</v>
      </c>
      <c r="C743" s="1" t="s">
        <v>36</v>
      </c>
      <c r="D743" t="s">
        <v>69</v>
      </c>
      <c r="E743" s="1">
        <v>90</v>
      </c>
      <c r="F743" s="1">
        <v>150</v>
      </c>
      <c r="G743" s="1">
        <v>805</v>
      </c>
      <c r="H743" s="1">
        <f>Int_breweries[[#This Row],[PLANT_COST]]*Int_breweries[[#This Row],[QUANTITY]]</f>
        <v>72450</v>
      </c>
      <c r="I743" s="1">
        <v>120750</v>
      </c>
      <c r="J743" s="1">
        <v>48300</v>
      </c>
      <c r="K743" s="1" t="s">
        <v>19</v>
      </c>
      <c r="L743" t="s">
        <v>58</v>
      </c>
      <c r="M743" s="1" t="s">
        <v>44</v>
      </c>
      <c r="N743" s="1">
        <v>2018</v>
      </c>
      <c r="O743" t="str" cm="1">
        <f t="array" ref="O743">_xlfn.IFS(OR($K743="Ghana", $K743="Nigeria"), "Anglophone", OR($K743="Togo", $K743="Benin", $K743="Senegal"), "Francophone")</f>
        <v>Anglophone</v>
      </c>
      <c r="P743" s="1" t="str">
        <f>LEFT(Int_breweries[[#This Row],[MONTHS]], 3)</f>
        <v>Oct</v>
      </c>
    </row>
    <row r="744" spans="1:16" ht="12.5" x14ac:dyDescent="0.25">
      <c r="A744" s="1">
        <v>10843</v>
      </c>
      <c r="B744" s="1" t="s">
        <v>26</v>
      </c>
      <c r="C744" s="1" t="s">
        <v>27</v>
      </c>
      <c r="D744" t="s">
        <v>63</v>
      </c>
      <c r="E744" s="1">
        <v>150</v>
      </c>
      <c r="F744" s="1">
        <v>200</v>
      </c>
      <c r="G744" s="1">
        <v>932</v>
      </c>
      <c r="H744" s="1">
        <f>Int_breweries[[#This Row],[PLANT_COST]]*Int_breweries[[#This Row],[QUANTITY]]</f>
        <v>139800</v>
      </c>
      <c r="I744" s="1">
        <v>186400</v>
      </c>
      <c r="J744" s="1">
        <v>46600</v>
      </c>
      <c r="K744" s="1" t="s">
        <v>24</v>
      </c>
      <c r="L744" t="s">
        <v>59</v>
      </c>
      <c r="M744" s="1" t="s">
        <v>47</v>
      </c>
      <c r="N744" s="1">
        <v>2018</v>
      </c>
      <c r="O744" t="str" cm="1">
        <f t="array" ref="O744">_xlfn.IFS(OR($K744="Ghana", $K744="Nigeria"), "Anglophone", OR($K744="Togo", $K744="Benin", $K744="Senegal"), "Francophone")</f>
        <v>Francophone</v>
      </c>
      <c r="P744" s="1" t="str">
        <f>LEFT(Int_breweries[[#This Row],[MONTHS]], 3)</f>
        <v>Nov</v>
      </c>
    </row>
    <row r="745" spans="1:16" ht="12.5" x14ac:dyDescent="0.25">
      <c r="A745" s="1">
        <v>10844</v>
      </c>
      <c r="B745" s="1" t="s">
        <v>39</v>
      </c>
      <c r="C745" s="1" t="s">
        <v>40</v>
      </c>
      <c r="D745" t="s">
        <v>64</v>
      </c>
      <c r="E745" s="1">
        <v>250</v>
      </c>
      <c r="F745" s="1">
        <v>500</v>
      </c>
      <c r="G745" s="1">
        <v>891</v>
      </c>
      <c r="H745" s="1">
        <f>Int_breweries[[#This Row],[PLANT_COST]]*Int_breweries[[#This Row],[QUANTITY]]</f>
        <v>222750</v>
      </c>
      <c r="I745" s="1">
        <v>445500</v>
      </c>
      <c r="J745" s="1">
        <v>222750</v>
      </c>
      <c r="K745" s="1" t="s">
        <v>28</v>
      </c>
      <c r="L745" t="s">
        <v>60</v>
      </c>
      <c r="M745" s="1" t="s">
        <v>48</v>
      </c>
      <c r="N745" s="1">
        <v>2018</v>
      </c>
      <c r="O745" t="str" cm="1">
        <f t="array" ref="O745">_xlfn.IFS(OR($K745="Ghana", $K745="Nigeria"), "Anglophone", OR($K745="Togo", $K745="Benin", $K745="Senegal"), "Francophone")</f>
        <v>Francophone</v>
      </c>
      <c r="P745" s="1" t="str">
        <f>LEFT(Int_breweries[[#This Row],[MONTHS]], 3)</f>
        <v>Dec</v>
      </c>
    </row>
    <row r="746" spans="1:16" ht="12.5" x14ac:dyDescent="0.25">
      <c r="A746" s="1">
        <v>10845</v>
      </c>
      <c r="B746" s="1" t="s">
        <v>42</v>
      </c>
      <c r="C746" s="1" t="s">
        <v>43</v>
      </c>
      <c r="D746" t="s">
        <v>65</v>
      </c>
      <c r="E746" s="1">
        <v>180</v>
      </c>
      <c r="F746" s="1">
        <v>450</v>
      </c>
      <c r="G746" s="1">
        <v>803</v>
      </c>
      <c r="H746" s="1">
        <f>Int_breweries[[#This Row],[PLANT_COST]]*Int_breweries[[#This Row],[QUANTITY]]</f>
        <v>144540</v>
      </c>
      <c r="I746" s="1">
        <v>361350</v>
      </c>
      <c r="J746" s="1">
        <v>216810</v>
      </c>
      <c r="K746" s="1" t="s">
        <v>32</v>
      </c>
      <c r="L746" t="s">
        <v>61</v>
      </c>
      <c r="M746" s="1" t="s">
        <v>16</v>
      </c>
      <c r="N746" s="1">
        <v>2018</v>
      </c>
      <c r="O746" t="str" cm="1">
        <f t="array" ref="O746">_xlfn.IFS(OR($K746="Ghana", $K746="Nigeria"), "Anglophone", OR($K746="Togo", $K746="Benin", $K746="Senegal"), "Francophone")</f>
        <v>Francophone</v>
      </c>
      <c r="P746" s="1" t="str">
        <f>LEFT(Int_breweries[[#This Row],[MONTHS]], 3)</f>
        <v>Jan</v>
      </c>
    </row>
    <row r="747" spans="1:16" ht="12.5" x14ac:dyDescent="0.25">
      <c r="A747" s="1">
        <v>10846</v>
      </c>
      <c r="B747" s="1" t="s">
        <v>45</v>
      </c>
      <c r="C747" s="1" t="s">
        <v>46</v>
      </c>
      <c r="D747" t="s">
        <v>66</v>
      </c>
      <c r="E747" s="1">
        <v>170</v>
      </c>
      <c r="F747" s="1">
        <v>250</v>
      </c>
      <c r="G747" s="1">
        <v>818</v>
      </c>
      <c r="H747" s="1">
        <f>Int_breweries[[#This Row],[PLANT_COST]]*Int_breweries[[#This Row],[QUANTITY]]</f>
        <v>139060</v>
      </c>
      <c r="I747" s="1">
        <v>204500</v>
      </c>
      <c r="J747" s="1">
        <v>65440</v>
      </c>
      <c r="K747" s="1" t="s">
        <v>14</v>
      </c>
      <c r="L747" t="s">
        <v>62</v>
      </c>
      <c r="M747" s="1" t="s">
        <v>21</v>
      </c>
      <c r="N747" s="1">
        <v>2017</v>
      </c>
      <c r="O747" t="str" cm="1">
        <f t="array" ref="O747">_xlfn.IFS(OR($K747="Ghana", $K747="Nigeria"), "Anglophone", OR($K747="Togo", $K747="Benin", $K747="Senegal"), "Francophone")</f>
        <v>Anglophone</v>
      </c>
      <c r="P747" s="1" t="str">
        <f>LEFT(Int_breweries[[#This Row],[MONTHS]], 3)</f>
        <v>Feb</v>
      </c>
    </row>
    <row r="748" spans="1:16" ht="12.5" x14ac:dyDescent="0.25">
      <c r="A748" s="1">
        <v>10847</v>
      </c>
      <c r="B748" s="1" t="s">
        <v>26</v>
      </c>
      <c r="C748" s="1" t="s">
        <v>27</v>
      </c>
      <c r="D748" t="s">
        <v>67</v>
      </c>
      <c r="E748" s="1">
        <v>150</v>
      </c>
      <c r="F748" s="1">
        <v>200</v>
      </c>
      <c r="G748" s="1">
        <v>932</v>
      </c>
      <c r="H748" s="1">
        <f>Int_breweries[[#This Row],[PLANT_COST]]*Int_breweries[[#This Row],[QUANTITY]]</f>
        <v>139800</v>
      </c>
      <c r="I748" s="1">
        <v>186400</v>
      </c>
      <c r="J748" s="1">
        <v>46600</v>
      </c>
      <c r="K748" s="1" t="s">
        <v>19</v>
      </c>
      <c r="L748" t="s">
        <v>15</v>
      </c>
      <c r="M748" s="1" t="s">
        <v>25</v>
      </c>
      <c r="N748" s="1">
        <v>2019</v>
      </c>
      <c r="O748" t="str" cm="1">
        <f t="array" ref="O748">_xlfn.IFS(OR($K748="Ghana", $K748="Nigeria"), "Anglophone", OR($K748="Togo", $K748="Benin", $K748="Senegal"), "Francophone")</f>
        <v>Anglophone</v>
      </c>
      <c r="P748" s="1" t="str">
        <f>LEFT(Int_breweries[[#This Row],[MONTHS]], 3)</f>
        <v>Mar</v>
      </c>
    </row>
    <row r="749" spans="1:16" ht="12.5" x14ac:dyDescent="0.25">
      <c r="A749" s="1">
        <v>10848</v>
      </c>
      <c r="B749" s="1" t="s">
        <v>49</v>
      </c>
      <c r="C749" s="1" t="s">
        <v>50</v>
      </c>
      <c r="D749" t="s">
        <v>68</v>
      </c>
      <c r="E749" s="1">
        <v>80</v>
      </c>
      <c r="F749" s="1">
        <v>150</v>
      </c>
      <c r="G749" s="1">
        <v>893</v>
      </c>
      <c r="H749" s="1">
        <f>Int_breweries[[#This Row],[PLANT_COST]]*Int_breweries[[#This Row],[QUANTITY]]</f>
        <v>71440</v>
      </c>
      <c r="I749" s="1">
        <v>133950</v>
      </c>
      <c r="J749" s="1">
        <v>62510</v>
      </c>
      <c r="K749" s="1" t="s">
        <v>24</v>
      </c>
      <c r="L749" t="s">
        <v>58</v>
      </c>
      <c r="M749" s="1" t="s">
        <v>29</v>
      </c>
      <c r="N749" s="1">
        <v>2019</v>
      </c>
      <c r="O749" t="str" cm="1">
        <f t="array" ref="O749">_xlfn.IFS(OR($K749="Ghana", $K749="Nigeria"), "Anglophone", OR($K749="Togo", $K749="Benin", $K749="Senegal"), "Francophone")</f>
        <v>Francophone</v>
      </c>
      <c r="P749" s="1" t="str">
        <f>LEFT(Int_breweries[[#This Row],[MONTHS]], 3)</f>
        <v>Apr</v>
      </c>
    </row>
    <row r="750" spans="1:16" ht="12.5" x14ac:dyDescent="0.25">
      <c r="A750" s="1">
        <v>10849</v>
      </c>
      <c r="B750" s="1" t="s">
        <v>26</v>
      </c>
      <c r="C750" s="1" t="s">
        <v>27</v>
      </c>
      <c r="D750" t="s">
        <v>69</v>
      </c>
      <c r="E750" s="1">
        <v>90</v>
      </c>
      <c r="F750" s="1">
        <v>150</v>
      </c>
      <c r="G750" s="1">
        <v>824</v>
      </c>
      <c r="H750" s="1">
        <f>Int_breweries[[#This Row],[PLANT_COST]]*Int_breweries[[#This Row],[QUANTITY]]</f>
        <v>74160</v>
      </c>
      <c r="I750" s="1">
        <v>123600</v>
      </c>
      <c r="J750" s="1">
        <v>49440</v>
      </c>
      <c r="K750" s="1" t="s">
        <v>28</v>
      </c>
      <c r="L750" t="s">
        <v>59</v>
      </c>
      <c r="M750" s="1" t="s">
        <v>33</v>
      </c>
      <c r="N750" s="1">
        <v>2019</v>
      </c>
      <c r="O750" t="str" cm="1">
        <f t="array" ref="O750">_xlfn.IFS(OR($K750="Ghana", $K750="Nigeria"), "Anglophone", OR($K750="Togo", $K750="Benin", $K750="Senegal"), "Francophone")</f>
        <v>Francophone</v>
      </c>
      <c r="P750" s="1" t="str">
        <f>LEFT(Int_breweries[[#This Row],[MONTHS]], 3)</f>
        <v>May</v>
      </c>
    </row>
    <row r="751" spans="1:16" ht="12.5" x14ac:dyDescent="0.25">
      <c r="A751" s="1">
        <v>10850</v>
      </c>
      <c r="B751" s="1" t="s">
        <v>12</v>
      </c>
      <c r="C751" s="1" t="s">
        <v>13</v>
      </c>
      <c r="D751" t="s">
        <v>63</v>
      </c>
      <c r="E751" s="1">
        <v>150</v>
      </c>
      <c r="F751" s="1">
        <v>200</v>
      </c>
      <c r="G751" s="1">
        <v>931</v>
      </c>
      <c r="H751" s="1">
        <f>Int_breweries[[#This Row],[PLANT_COST]]*Int_breweries[[#This Row],[QUANTITY]]</f>
        <v>139650</v>
      </c>
      <c r="I751" s="1">
        <v>186200</v>
      </c>
      <c r="J751" s="1">
        <v>46550</v>
      </c>
      <c r="K751" s="1" t="s">
        <v>32</v>
      </c>
      <c r="L751" t="s">
        <v>60</v>
      </c>
      <c r="M751" s="1" t="s">
        <v>34</v>
      </c>
      <c r="N751" s="1">
        <v>2019</v>
      </c>
      <c r="O751" t="str" cm="1">
        <f t="array" ref="O751">_xlfn.IFS(OR($K751="Ghana", $K751="Nigeria"), "Anglophone", OR($K751="Togo", $K751="Benin", $K751="Senegal"), "Francophone")</f>
        <v>Francophone</v>
      </c>
      <c r="P751" s="1" t="str">
        <f>LEFT(Int_breweries[[#This Row],[MONTHS]], 3)</f>
        <v>Jun</v>
      </c>
    </row>
    <row r="752" spans="1:16" ht="12.5" x14ac:dyDescent="0.25">
      <c r="A752" s="1">
        <v>10851</v>
      </c>
      <c r="B752" s="1" t="s">
        <v>17</v>
      </c>
      <c r="C752" s="1" t="s">
        <v>18</v>
      </c>
      <c r="D752" t="s">
        <v>64</v>
      </c>
      <c r="E752" s="1">
        <v>250</v>
      </c>
      <c r="F752" s="1">
        <v>500</v>
      </c>
      <c r="G752" s="1">
        <v>783</v>
      </c>
      <c r="H752" s="1">
        <f>Int_breweries[[#This Row],[PLANT_COST]]*Int_breweries[[#This Row],[QUANTITY]]</f>
        <v>195750</v>
      </c>
      <c r="I752" s="1">
        <v>391500</v>
      </c>
      <c r="J752" s="1">
        <v>195750</v>
      </c>
      <c r="K752" s="1" t="s">
        <v>14</v>
      </c>
      <c r="L752" t="s">
        <v>61</v>
      </c>
      <c r="M752" s="1" t="s">
        <v>37</v>
      </c>
      <c r="N752" s="1">
        <v>2019</v>
      </c>
      <c r="O752" t="str" cm="1">
        <f t="array" ref="O752">_xlfn.IFS(OR($K752="Ghana", $K752="Nigeria"), "Anglophone", OR($K752="Togo", $K752="Benin", $K752="Senegal"), "Francophone")</f>
        <v>Anglophone</v>
      </c>
      <c r="P752" s="1" t="str">
        <f>LEFT(Int_breweries[[#This Row],[MONTHS]], 3)</f>
        <v>Jul</v>
      </c>
    </row>
    <row r="753" spans="1:16" ht="12.5" x14ac:dyDescent="0.25">
      <c r="A753" s="1">
        <v>10852</v>
      </c>
      <c r="B753" s="1" t="s">
        <v>22</v>
      </c>
      <c r="C753" s="1" t="s">
        <v>23</v>
      </c>
      <c r="D753" t="s">
        <v>65</v>
      </c>
      <c r="E753" s="1">
        <v>180</v>
      </c>
      <c r="F753" s="1">
        <v>450</v>
      </c>
      <c r="G753" s="1">
        <v>708</v>
      </c>
      <c r="H753" s="1">
        <f>Int_breweries[[#This Row],[PLANT_COST]]*Int_breweries[[#This Row],[QUANTITY]]</f>
        <v>127440</v>
      </c>
      <c r="I753" s="1">
        <v>318600</v>
      </c>
      <c r="J753" s="1">
        <v>191160</v>
      </c>
      <c r="K753" s="1" t="s">
        <v>19</v>
      </c>
      <c r="L753" t="s">
        <v>62</v>
      </c>
      <c r="M753" s="1" t="s">
        <v>38</v>
      </c>
      <c r="N753" s="1">
        <v>2017</v>
      </c>
      <c r="O753" t="str" cm="1">
        <f t="array" ref="O753">_xlfn.IFS(OR($K753="Ghana", $K753="Nigeria"), "Anglophone", OR($K753="Togo", $K753="Benin", $K753="Senegal"), "Francophone")</f>
        <v>Anglophone</v>
      </c>
      <c r="P753" s="1" t="str">
        <f>LEFT(Int_breweries[[#This Row],[MONTHS]], 3)</f>
        <v>Aug</v>
      </c>
    </row>
    <row r="754" spans="1:16" ht="12.5" x14ac:dyDescent="0.25">
      <c r="A754" s="1">
        <v>10853</v>
      </c>
      <c r="B754" s="1" t="s">
        <v>26</v>
      </c>
      <c r="C754" s="1" t="s">
        <v>27</v>
      </c>
      <c r="D754" t="s">
        <v>66</v>
      </c>
      <c r="E754" s="1">
        <v>170</v>
      </c>
      <c r="F754" s="1">
        <v>250</v>
      </c>
      <c r="G754" s="1">
        <v>861</v>
      </c>
      <c r="H754" s="1">
        <f>Int_breweries[[#This Row],[PLANT_COST]]*Int_breweries[[#This Row],[QUANTITY]]</f>
        <v>146370</v>
      </c>
      <c r="I754" s="1">
        <v>215250</v>
      </c>
      <c r="J754" s="1">
        <v>68880</v>
      </c>
      <c r="K754" s="1" t="s">
        <v>24</v>
      </c>
      <c r="L754" t="s">
        <v>15</v>
      </c>
      <c r="M754" s="1" t="s">
        <v>41</v>
      </c>
      <c r="N754" s="1">
        <v>2017</v>
      </c>
      <c r="O754" t="str" cm="1">
        <f t="array" ref="O754">_xlfn.IFS(OR($K754="Ghana", $K754="Nigeria"), "Anglophone", OR($K754="Togo", $K754="Benin", $K754="Senegal"), "Francophone")</f>
        <v>Francophone</v>
      </c>
      <c r="P754" s="1" t="str">
        <f>LEFT(Int_breweries[[#This Row],[MONTHS]], 3)</f>
        <v>Sep</v>
      </c>
    </row>
    <row r="755" spans="1:16" ht="12.5" x14ac:dyDescent="0.25">
      <c r="A755" s="1">
        <v>10854</v>
      </c>
      <c r="B755" s="1" t="s">
        <v>30</v>
      </c>
      <c r="C755" s="1" t="s">
        <v>31</v>
      </c>
      <c r="D755" t="s">
        <v>67</v>
      </c>
      <c r="E755" s="1">
        <v>150</v>
      </c>
      <c r="F755" s="1">
        <v>200</v>
      </c>
      <c r="G755" s="1">
        <v>798</v>
      </c>
      <c r="H755" s="1">
        <f>Int_breweries[[#This Row],[PLANT_COST]]*Int_breweries[[#This Row],[QUANTITY]]</f>
        <v>119700</v>
      </c>
      <c r="I755" s="1">
        <v>159600</v>
      </c>
      <c r="J755" s="1">
        <v>39900</v>
      </c>
      <c r="K755" s="1" t="s">
        <v>28</v>
      </c>
      <c r="L755" t="s">
        <v>58</v>
      </c>
      <c r="M755" s="1" t="s">
        <v>44</v>
      </c>
      <c r="N755" s="1">
        <v>2017</v>
      </c>
      <c r="O755" t="str" cm="1">
        <f t="array" ref="O755">_xlfn.IFS(OR($K755="Ghana", $K755="Nigeria"), "Anglophone", OR($K755="Togo", $K755="Benin", $K755="Senegal"), "Francophone")</f>
        <v>Francophone</v>
      </c>
      <c r="P755" s="1" t="str">
        <f>LEFT(Int_breweries[[#This Row],[MONTHS]], 3)</f>
        <v>Oct</v>
      </c>
    </row>
    <row r="756" spans="1:16" ht="12.5" x14ac:dyDescent="0.25">
      <c r="A756" s="1">
        <v>10855</v>
      </c>
      <c r="B756" s="1" t="s">
        <v>12</v>
      </c>
      <c r="C756" s="1" t="s">
        <v>13</v>
      </c>
      <c r="D756" t="s">
        <v>68</v>
      </c>
      <c r="E756" s="1">
        <v>80</v>
      </c>
      <c r="F756" s="1">
        <v>150</v>
      </c>
      <c r="G756" s="1">
        <v>934</v>
      </c>
      <c r="H756" s="1">
        <f>Int_breweries[[#This Row],[PLANT_COST]]*Int_breweries[[#This Row],[QUANTITY]]</f>
        <v>74720</v>
      </c>
      <c r="I756" s="1">
        <v>140100</v>
      </c>
      <c r="J756" s="1">
        <v>65380</v>
      </c>
      <c r="K756" s="1" t="s">
        <v>32</v>
      </c>
      <c r="L756" t="s">
        <v>59</v>
      </c>
      <c r="M756" s="1" t="s">
        <v>47</v>
      </c>
      <c r="N756" s="1">
        <v>2019</v>
      </c>
      <c r="O756" t="str" cm="1">
        <f t="array" ref="O756">_xlfn.IFS(OR($K756="Ghana", $K756="Nigeria"), "Anglophone", OR($K756="Togo", $K756="Benin", $K756="Senegal"), "Francophone")</f>
        <v>Francophone</v>
      </c>
      <c r="P756" s="1" t="str">
        <f>LEFT(Int_breweries[[#This Row],[MONTHS]], 3)</f>
        <v>Nov</v>
      </c>
    </row>
    <row r="757" spans="1:16" ht="12.5" x14ac:dyDescent="0.25">
      <c r="A757" s="1">
        <v>10856</v>
      </c>
      <c r="B757" s="1" t="s">
        <v>35</v>
      </c>
      <c r="C757" s="1" t="s">
        <v>36</v>
      </c>
      <c r="D757" t="s">
        <v>69</v>
      </c>
      <c r="E757" s="1">
        <v>90</v>
      </c>
      <c r="F757" s="1">
        <v>150</v>
      </c>
      <c r="G757" s="1">
        <v>950</v>
      </c>
      <c r="H757" s="1">
        <f>Int_breweries[[#This Row],[PLANT_COST]]*Int_breweries[[#This Row],[QUANTITY]]</f>
        <v>85500</v>
      </c>
      <c r="I757" s="1">
        <v>142500</v>
      </c>
      <c r="J757" s="1">
        <v>57000</v>
      </c>
      <c r="K757" s="1" t="s">
        <v>14</v>
      </c>
      <c r="L757" t="s">
        <v>60</v>
      </c>
      <c r="M757" s="1" t="s">
        <v>48</v>
      </c>
      <c r="N757" s="1">
        <v>2017</v>
      </c>
      <c r="O757" t="str" cm="1">
        <f t="array" ref="O757">_xlfn.IFS(OR($K757="Ghana", $K757="Nigeria"), "Anglophone", OR($K757="Togo", $K757="Benin", $K757="Senegal"), "Francophone")</f>
        <v>Anglophone</v>
      </c>
      <c r="P757" s="1" t="str">
        <f>LEFT(Int_breweries[[#This Row],[MONTHS]], 3)</f>
        <v>Dec</v>
      </c>
    </row>
    <row r="758" spans="1:16" ht="12.5" x14ac:dyDescent="0.25">
      <c r="A758" s="1">
        <v>10857</v>
      </c>
      <c r="B758" s="1" t="s">
        <v>26</v>
      </c>
      <c r="C758" s="1" t="s">
        <v>27</v>
      </c>
      <c r="D758" t="s">
        <v>63</v>
      </c>
      <c r="E758" s="1">
        <v>150</v>
      </c>
      <c r="F758" s="1">
        <v>200</v>
      </c>
      <c r="G758" s="1">
        <v>986</v>
      </c>
      <c r="H758" s="1">
        <f>Int_breweries[[#This Row],[PLANT_COST]]*Int_breweries[[#This Row],[QUANTITY]]</f>
        <v>147900</v>
      </c>
      <c r="I758" s="1">
        <v>197200</v>
      </c>
      <c r="J758" s="1">
        <v>49300</v>
      </c>
      <c r="K758" s="1" t="s">
        <v>19</v>
      </c>
      <c r="L758" t="s">
        <v>61</v>
      </c>
      <c r="M758" s="1" t="s">
        <v>16</v>
      </c>
      <c r="N758" s="1">
        <v>2018</v>
      </c>
      <c r="O758" t="str" cm="1">
        <f t="array" ref="O758">_xlfn.IFS(OR($K758="Ghana", $K758="Nigeria"), "Anglophone", OR($K758="Togo", $K758="Benin", $K758="Senegal"), "Francophone")</f>
        <v>Anglophone</v>
      </c>
      <c r="P758" s="1" t="str">
        <f>LEFT(Int_breweries[[#This Row],[MONTHS]], 3)</f>
        <v>Jan</v>
      </c>
    </row>
    <row r="759" spans="1:16" ht="12.5" x14ac:dyDescent="0.25">
      <c r="A759" s="1">
        <v>10858</v>
      </c>
      <c r="B759" s="1" t="s">
        <v>39</v>
      </c>
      <c r="C759" s="1" t="s">
        <v>40</v>
      </c>
      <c r="D759" t="s">
        <v>64</v>
      </c>
      <c r="E759" s="1">
        <v>250</v>
      </c>
      <c r="F759" s="1">
        <v>500</v>
      </c>
      <c r="G759" s="1">
        <v>767</v>
      </c>
      <c r="H759" s="1">
        <f>Int_breweries[[#This Row],[PLANT_COST]]*Int_breweries[[#This Row],[QUANTITY]]</f>
        <v>191750</v>
      </c>
      <c r="I759" s="1">
        <v>383500</v>
      </c>
      <c r="J759" s="1">
        <v>191750</v>
      </c>
      <c r="K759" s="1" t="s">
        <v>24</v>
      </c>
      <c r="L759" t="s">
        <v>62</v>
      </c>
      <c r="M759" s="1" t="s">
        <v>21</v>
      </c>
      <c r="N759" s="1">
        <v>2017</v>
      </c>
      <c r="O759" t="str" cm="1">
        <f t="array" ref="O759">_xlfn.IFS(OR($K759="Ghana", $K759="Nigeria"), "Anglophone", OR($K759="Togo", $K759="Benin", $K759="Senegal"), "Francophone")</f>
        <v>Francophone</v>
      </c>
      <c r="P759" s="1" t="str">
        <f>LEFT(Int_breweries[[#This Row],[MONTHS]], 3)</f>
        <v>Feb</v>
      </c>
    </row>
    <row r="760" spans="1:16" ht="12.5" x14ac:dyDescent="0.25">
      <c r="A760" s="1">
        <v>10859</v>
      </c>
      <c r="B760" s="1" t="s">
        <v>42</v>
      </c>
      <c r="C760" s="1" t="s">
        <v>43</v>
      </c>
      <c r="D760" t="s">
        <v>65</v>
      </c>
      <c r="E760" s="1">
        <v>180</v>
      </c>
      <c r="F760" s="1">
        <v>450</v>
      </c>
      <c r="G760" s="1">
        <v>898</v>
      </c>
      <c r="H760" s="1">
        <f>Int_breweries[[#This Row],[PLANT_COST]]*Int_breweries[[#This Row],[QUANTITY]]</f>
        <v>161640</v>
      </c>
      <c r="I760" s="1">
        <v>404100</v>
      </c>
      <c r="J760" s="1">
        <v>242460</v>
      </c>
      <c r="K760" s="1" t="s">
        <v>28</v>
      </c>
      <c r="L760" t="s">
        <v>15</v>
      </c>
      <c r="M760" s="1" t="s">
        <v>25</v>
      </c>
      <c r="N760" s="1">
        <v>2017</v>
      </c>
      <c r="O760" t="str" cm="1">
        <f t="array" ref="O760">_xlfn.IFS(OR($K760="Ghana", $K760="Nigeria"), "Anglophone", OR($K760="Togo", $K760="Benin", $K760="Senegal"), "Francophone")</f>
        <v>Francophone</v>
      </c>
      <c r="P760" s="1" t="str">
        <f>LEFT(Int_breweries[[#This Row],[MONTHS]], 3)</f>
        <v>Mar</v>
      </c>
    </row>
    <row r="761" spans="1:16" ht="12.5" x14ac:dyDescent="0.25">
      <c r="A761" s="1">
        <v>10860</v>
      </c>
      <c r="B761" s="1" t="s">
        <v>45</v>
      </c>
      <c r="C761" s="1" t="s">
        <v>46</v>
      </c>
      <c r="D761" t="s">
        <v>66</v>
      </c>
      <c r="E761" s="1">
        <v>170</v>
      </c>
      <c r="F761" s="1">
        <v>250</v>
      </c>
      <c r="G761" s="1">
        <v>859</v>
      </c>
      <c r="H761" s="1">
        <f>Int_breweries[[#This Row],[PLANT_COST]]*Int_breweries[[#This Row],[QUANTITY]]</f>
        <v>146030</v>
      </c>
      <c r="I761" s="1">
        <v>214750</v>
      </c>
      <c r="J761" s="1">
        <v>68720</v>
      </c>
      <c r="K761" s="1" t="s">
        <v>32</v>
      </c>
      <c r="L761" t="s">
        <v>58</v>
      </c>
      <c r="M761" s="1" t="s">
        <v>29</v>
      </c>
      <c r="N761" s="1">
        <v>2018</v>
      </c>
      <c r="O761" t="str" cm="1">
        <f t="array" ref="O761">_xlfn.IFS(OR($K761="Ghana", $K761="Nigeria"), "Anglophone", OR($K761="Togo", $K761="Benin", $K761="Senegal"), "Francophone")</f>
        <v>Francophone</v>
      </c>
      <c r="P761" s="1" t="str">
        <f>LEFT(Int_breweries[[#This Row],[MONTHS]], 3)</f>
        <v>Apr</v>
      </c>
    </row>
    <row r="762" spans="1:16" ht="12.5" x14ac:dyDescent="0.25">
      <c r="A762" s="1">
        <v>10861</v>
      </c>
      <c r="B762" s="1" t="s">
        <v>26</v>
      </c>
      <c r="C762" s="1" t="s">
        <v>27</v>
      </c>
      <c r="D762" t="s">
        <v>67</v>
      </c>
      <c r="E762" s="1">
        <v>150</v>
      </c>
      <c r="F762" s="1">
        <v>200</v>
      </c>
      <c r="G762" s="1">
        <v>934</v>
      </c>
      <c r="H762" s="1">
        <f>Int_breweries[[#This Row],[PLANT_COST]]*Int_breweries[[#This Row],[QUANTITY]]</f>
        <v>140100</v>
      </c>
      <c r="I762" s="1">
        <v>186800</v>
      </c>
      <c r="J762" s="1">
        <v>46700</v>
      </c>
      <c r="K762" s="1" t="s">
        <v>14</v>
      </c>
      <c r="L762" t="s">
        <v>59</v>
      </c>
      <c r="M762" s="1" t="s">
        <v>33</v>
      </c>
      <c r="N762" s="1">
        <v>2019</v>
      </c>
      <c r="O762" t="str" cm="1">
        <f t="array" ref="O762">_xlfn.IFS(OR($K762="Ghana", $K762="Nigeria"), "Anglophone", OR($K762="Togo", $K762="Benin", $K762="Senegal"), "Francophone")</f>
        <v>Anglophone</v>
      </c>
      <c r="P762" s="1" t="str">
        <f>LEFT(Int_breweries[[#This Row],[MONTHS]], 3)</f>
        <v>May</v>
      </c>
    </row>
    <row r="763" spans="1:16" ht="12.5" x14ac:dyDescent="0.25">
      <c r="A763" s="1">
        <v>10862</v>
      </c>
      <c r="B763" s="1" t="s">
        <v>49</v>
      </c>
      <c r="C763" s="1" t="s">
        <v>50</v>
      </c>
      <c r="D763" t="s">
        <v>68</v>
      </c>
      <c r="E763" s="1">
        <v>80</v>
      </c>
      <c r="F763" s="1">
        <v>150</v>
      </c>
      <c r="G763" s="1">
        <v>879</v>
      </c>
      <c r="H763" s="1">
        <f>Int_breweries[[#This Row],[PLANT_COST]]*Int_breweries[[#This Row],[QUANTITY]]</f>
        <v>70320</v>
      </c>
      <c r="I763" s="1">
        <v>131850</v>
      </c>
      <c r="J763" s="1">
        <v>61530</v>
      </c>
      <c r="K763" s="1" t="s">
        <v>19</v>
      </c>
      <c r="L763" t="s">
        <v>60</v>
      </c>
      <c r="M763" s="1" t="s">
        <v>34</v>
      </c>
      <c r="N763" s="1">
        <v>2017</v>
      </c>
      <c r="O763" t="str" cm="1">
        <f t="array" ref="O763">_xlfn.IFS(OR($K763="Ghana", $K763="Nigeria"), "Anglophone", OR($K763="Togo", $K763="Benin", $K763="Senegal"), "Francophone")</f>
        <v>Anglophone</v>
      </c>
      <c r="P763" s="1" t="str">
        <f>LEFT(Int_breweries[[#This Row],[MONTHS]], 3)</f>
        <v>Jun</v>
      </c>
    </row>
    <row r="764" spans="1:16" ht="12.5" x14ac:dyDescent="0.25">
      <c r="A764" s="1">
        <v>10863</v>
      </c>
      <c r="B764" s="1" t="s">
        <v>26</v>
      </c>
      <c r="C764" s="1" t="s">
        <v>27</v>
      </c>
      <c r="D764" t="s">
        <v>69</v>
      </c>
      <c r="E764" s="1">
        <v>90</v>
      </c>
      <c r="F764" s="1">
        <v>150</v>
      </c>
      <c r="G764" s="1">
        <v>872</v>
      </c>
      <c r="H764" s="1">
        <f>Int_breweries[[#This Row],[PLANT_COST]]*Int_breweries[[#This Row],[QUANTITY]]</f>
        <v>78480</v>
      </c>
      <c r="I764" s="1">
        <v>130800</v>
      </c>
      <c r="J764" s="1">
        <v>52320</v>
      </c>
      <c r="K764" s="1" t="s">
        <v>24</v>
      </c>
      <c r="L764" t="s">
        <v>61</v>
      </c>
      <c r="M764" s="1" t="s">
        <v>37</v>
      </c>
      <c r="N764" s="1">
        <v>2017</v>
      </c>
      <c r="O764" t="str" cm="1">
        <f t="array" ref="O764">_xlfn.IFS(OR($K764="Ghana", $K764="Nigeria"), "Anglophone", OR($K764="Togo", $K764="Benin", $K764="Senegal"), "Francophone")</f>
        <v>Francophone</v>
      </c>
      <c r="P764" s="1" t="str">
        <f>LEFT(Int_breweries[[#This Row],[MONTHS]], 3)</f>
        <v>Jul</v>
      </c>
    </row>
    <row r="765" spans="1:16" ht="12.5" x14ac:dyDescent="0.25">
      <c r="A765" s="1">
        <v>10864</v>
      </c>
      <c r="B765" s="1" t="s">
        <v>39</v>
      </c>
      <c r="C765" s="1" t="s">
        <v>40</v>
      </c>
      <c r="D765" t="s">
        <v>63</v>
      </c>
      <c r="E765" s="1">
        <v>150</v>
      </c>
      <c r="F765" s="1">
        <v>200</v>
      </c>
      <c r="G765" s="1">
        <v>991</v>
      </c>
      <c r="H765" s="1">
        <f>Int_breweries[[#This Row],[PLANT_COST]]*Int_breweries[[#This Row],[QUANTITY]]</f>
        <v>148650</v>
      </c>
      <c r="I765" s="1">
        <v>198200</v>
      </c>
      <c r="J765" s="1">
        <v>49550</v>
      </c>
      <c r="K765" s="1" t="s">
        <v>28</v>
      </c>
      <c r="L765" t="s">
        <v>62</v>
      </c>
      <c r="M765" s="1" t="s">
        <v>38</v>
      </c>
      <c r="N765" s="1">
        <v>2018</v>
      </c>
      <c r="O765" t="str" cm="1">
        <f t="array" ref="O765">_xlfn.IFS(OR($K765="Ghana", $K765="Nigeria"), "Anglophone", OR($K765="Togo", $K765="Benin", $K765="Senegal"), "Francophone")</f>
        <v>Francophone</v>
      </c>
      <c r="P765" s="1" t="str">
        <f>LEFT(Int_breweries[[#This Row],[MONTHS]], 3)</f>
        <v>Aug</v>
      </c>
    </row>
    <row r="766" spans="1:16" ht="12.5" x14ac:dyDescent="0.25">
      <c r="A766" s="1">
        <v>10865</v>
      </c>
      <c r="B766" s="1" t="s">
        <v>26</v>
      </c>
      <c r="C766" s="1" t="s">
        <v>27</v>
      </c>
      <c r="D766" t="s">
        <v>64</v>
      </c>
      <c r="E766" s="1">
        <v>250</v>
      </c>
      <c r="F766" s="1">
        <v>500</v>
      </c>
      <c r="G766" s="1">
        <v>738</v>
      </c>
      <c r="H766" s="1">
        <f>Int_breweries[[#This Row],[PLANT_COST]]*Int_breweries[[#This Row],[QUANTITY]]</f>
        <v>184500</v>
      </c>
      <c r="I766" s="1">
        <v>369000</v>
      </c>
      <c r="J766" s="1">
        <v>184500</v>
      </c>
      <c r="K766" s="1" t="s">
        <v>32</v>
      </c>
      <c r="L766" t="s">
        <v>15</v>
      </c>
      <c r="M766" s="1" t="s">
        <v>41</v>
      </c>
      <c r="N766" s="1">
        <v>2018</v>
      </c>
      <c r="O766" t="str" cm="1">
        <f t="array" ref="O766">_xlfn.IFS(OR($K766="Ghana", $K766="Nigeria"), "Anglophone", OR($K766="Togo", $K766="Benin", $K766="Senegal"), "Francophone")</f>
        <v>Francophone</v>
      </c>
      <c r="P766" s="1" t="str">
        <f>LEFT(Int_breweries[[#This Row],[MONTHS]], 3)</f>
        <v>Sep</v>
      </c>
    </row>
    <row r="767" spans="1:16" ht="12.5" x14ac:dyDescent="0.25">
      <c r="A767" s="1">
        <v>10866</v>
      </c>
      <c r="B767" s="1" t="s">
        <v>45</v>
      </c>
      <c r="C767" s="1" t="s">
        <v>46</v>
      </c>
      <c r="D767" t="s">
        <v>65</v>
      </c>
      <c r="E767" s="1">
        <v>180</v>
      </c>
      <c r="F767" s="1">
        <v>450</v>
      </c>
      <c r="G767" s="1">
        <v>849</v>
      </c>
      <c r="H767" s="1">
        <f>Int_breweries[[#This Row],[PLANT_COST]]*Int_breweries[[#This Row],[QUANTITY]]</f>
        <v>152820</v>
      </c>
      <c r="I767" s="1">
        <v>382050</v>
      </c>
      <c r="J767" s="1">
        <v>229230</v>
      </c>
      <c r="K767" s="1" t="s">
        <v>14</v>
      </c>
      <c r="L767" t="s">
        <v>58</v>
      </c>
      <c r="M767" s="1" t="s">
        <v>44</v>
      </c>
      <c r="N767" s="1">
        <v>2018</v>
      </c>
      <c r="O767" t="str" cm="1">
        <f t="array" ref="O767">_xlfn.IFS(OR($K767="Ghana", $K767="Nigeria"), "Anglophone", OR($K767="Togo", $K767="Benin", $K767="Senegal"), "Francophone")</f>
        <v>Anglophone</v>
      </c>
      <c r="P767" s="1" t="str">
        <f>LEFT(Int_breweries[[#This Row],[MONTHS]], 3)</f>
        <v>Oct</v>
      </c>
    </row>
    <row r="768" spans="1:16" ht="12.5" x14ac:dyDescent="0.25">
      <c r="A768" s="1">
        <v>10867</v>
      </c>
      <c r="B768" s="1" t="s">
        <v>51</v>
      </c>
      <c r="C768" s="1" t="s">
        <v>52</v>
      </c>
      <c r="D768" t="s">
        <v>66</v>
      </c>
      <c r="E768" s="1">
        <v>170</v>
      </c>
      <c r="F768" s="1">
        <v>250</v>
      </c>
      <c r="G768" s="1">
        <v>997</v>
      </c>
      <c r="H768" s="1">
        <f>Int_breweries[[#This Row],[PLANT_COST]]*Int_breweries[[#This Row],[QUANTITY]]</f>
        <v>169490</v>
      </c>
      <c r="I768" s="1">
        <v>249250</v>
      </c>
      <c r="J768" s="1">
        <v>79760</v>
      </c>
      <c r="K768" s="1" t="s">
        <v>19</v>
      </c>
      <c r="L768" t="s">
        <v>59</v>
      </c>
      <c r="M768" s="1" t="s">
        <v>47</v>
      </c>
      <c r="N768" s="1">
        <v>2017</v>
      </c>
      <c r="O768" t="str" cm="1">
        <f t="array" ref="O768">_xlfn.IFS(OR($K768="Ghana", $K768="Nigeria"), "Anglophone", OR($K768="Togo", $K768="Benin", $K768="Senegal"), "Francophone")</f>
        <v>Anglophone</v>
      </c>
      <c r="P768" s="1" t="str">
        <f>LEFT(Int_breweries[[#This Row],[MONTHS]], 3)</f>
        <v>Nov</v>
      </c>
    </row>
    <row r="769" spans="1:16" ht="12.5" x14ac:dyDescent="0.25">
      <c r="A769" s="1">
        <v>10868</v>
      </c>
      <c r="B769" s="1" t="s">
        <v>49</v>
      </c>
      <c r="C769" s="1" t="s">
        <v>50</v>
      </c>
      <c r="D769" t="s">
        <v>67</v>
      </c>
      <c r="E769" s="1">
        <v>150</v>
      </c>
      <c r="F769" s="1">
        <v>200</v>
      </c>
      <c r="G769" s="1">
        <v>842</v>
      </c>
      <c r="H769" s="1">
        <f>Int_breweries[[#This Row],[PLANT_COST]]*Int_breweries[[#This Row],[QUANTITY]]</f>
        <v>126300</v>
      </c>
      <c r="I769" s="1">
        <v>168400</v>
      </c>
      <c r="J769" s="1">
        <v>42100</v>
      </c>
      <c r="K769" s="1" t="s">
        <v>24</v>
      </c>
      <c r="L769" t="s">
        <v>60</v>
      </c>
      <c r="M769" s="1" t="s">
        <v>48</v>
      </c>
      <c r="N769" s="1">
        <v>2017</v>
      </c>
      <c r="O769" t="str" cm="1">
        <f t="array" ref="O769">_xlfn.IFS(OR($K769="Ghana", $K769="Nigeria"), "Anglophone", OR($K769="Togo", $K769="Benin", $K769="Senegal"), "Francophone")</f>
        <v>Francophone</v>
      </c>
      <c r="P769" s="1" t="str">
        <f>LEFT(Int_breweries[[#This Row],[MONTHS]], 3)</f>
        <v>Dec</v>
      </c>
    </row>
    <row r="770" spans="1:16" ht="12.5" x14ac:dyDescent="0.25">
      <c r="A770" s="1">
        <v>10869</v>
      </c>
      <c r="B770" s="1" t="s">
        <v>45</v>
      </c>
      <c r="C770" s="1" t="s">
        <v>46</v>
      </c>
      <c r="D770" t="s">
        <v>68</v>
      </c>
      <c r="E770" s="1">
        <v>80</v>
      </c>
      <c r="F770" s="1">
        <v>150</v>
      </c>
      <c r="G770" s="1">
        <v>866</v>
      </c>
      <c r="H770" s="1">
        <f>Int_breweries[[#This Row],[PLANT_COST]]*Int_breweries[[#This Row],[QUANTITY]]</f>
        <v>69280</v>
      </c>
      <c r="I770" s="1">
        <v>129900</v>
      </c>
      <c r="J770" s="1">
        <v>60620</v>
      </c>
      <c r="K770" s="1" t="s">
        <v>28</v>
      </c>
      <c r="L770" t="s">
        <v>61</v>
      </c>
      <c r="M770" s="1" t="s">
        <v>16</v>
      </c>
      <c r="N770" s="1">
        <v>2019</v>
      </c>
      <c r="O770" t="str" cm="1">
        <f t="array" ref="O770">_xlfn.IFS(OR($K770="Ghana", $K770="Nigeria"), "Anglophone", OR($K770="Togo", $K770="Benin", $K770="Senegal"), "Francophone")</f>
        <v>Francophone</v>
      </c>
      <c r="P770" s="1" t="str">
        <f>LEFT(Int_breweries[[#This Row],[MONTHS]], 3)</f>
        <v>Jan</v>
      </c>
    </row>
    <row r="771" spans="1:16" ht="12.5" x14ac:dyDescent="0.25">
      <c r="A771" s="1">
        <v>10870</v>
      </c>
      <c r="B771" s="1" t="s">
        <v>17</v>
      </c>
      <c r="C771" s="1" t="s">
        <v>18</v>
      </c>
      <c r="D771" t="s">
        <v>69</v>
      </c>
      <c r="E771" s="1">
        <v>90</v>
      </c>
      <c r="F771" s="1">
        <v>150</v>
      </c>
      <c r="G771" s="1">
        <v>904</v>
      </c>
      <c r="H771" s="1">
        <f>Int_breweries[[#This Row],[PLANT_COST]]*Int_breweries[[#This Row],[QUANTITY]]</f>
        <v>81360</v>
      </c>
      <c r="I771" s="1">
        <v>135600</v>
      </c>
      <c r="J771" s="1">
        <v>54240</v>
      </c>
      <c r="K771" s="1" t="s">
        <v>32</v>
      </c>
      <c r="L771" t="s">
        <v>62</v>
      </c>
      <c r="M771" s="1" t="s">
        <v>21</v>
      </c>
      <c r="N771" s="1">
        <v>2018</v>
      </c>
      <c r="O771" t="str" cm="1">
        <f t="array" ref="O771">_xlfn.IFS(OR($K771="Ghana", $K771="Nigeria"), "Anglophone", OR($K771="Togo", $K771="Benin", $K771="Senegal"), "Francophone")</f>
        <v>Francophone</v>
      </c>
      <c r="P771" s="1" t="str">
        <f>LEFT(Int_breweries[[#This Row],[MONTHS]], 3)</f>
        <v>Feb</v>
      </c>
    </row>
    <row r="772" spans="1:16" ht="12.5" x14ac:dyDescent="0.25">
      <c r="A772" s="1">
        <v>10871</v>
      </c>
      <c r="B772" s="1" t="s">
        <v>49</v>
      </c>
      <c r="C772" s="1" t="s">
        <v>50</v>
      </c>
      <c r="D772" t="s">
        <v>63</v>
      </c>
      <c r="E772" s="1">
        <v>150</v>
      </c>
      <c r="F772" s="1">
        <v>200</v>
      </c>
      <c r="G772" s="1">
        <v>977</v>
      </c>
      <c r="H772" s="1">
        <f>Int_breweries[[#This Row],[PLANT_COST]]*Int_breweries[[#This Row],[QUANTITY]]</f>
        <v>146550</v>
      </c>
      <c r="I772" s="1">
        <v>195400</v>
      </c>
      <c r="J772" s="1">
        <v>48850</v>
      </c>
      <c r="K772" s="1" t="s">
        <v>14</v>
      </c>
      <c r="L772" t="s">
        <v>15</v>
      </c>
      <c r="M772" s="1" t="s">
        <v>25</v>
      </c>
      <c r="N772" s="1">
        <v>2018</v>
      </c>
      <c r="O772" t="str" cm="1">
        <f t="array" ref="O772">_xlfn.IFS(OR($K772="Ghana", $K772="Nigeria"), "Anglophone", OR($K772="Togo", $K772="Benin", $K772="Senegal"), "Francophone")</f>
        <v>Anglophone</v>
      </c>
      <c r="P772" s="1" t="str">
        <f>LEFT(Int_breweries[[#This Row],[MONTHS]], 3)</f>
        <v>Mar</v>
      </c>
    </row>
    <row r="773" spans="1:16" ht="12.5" x14ac:dyDescent="0.25">
      <c r="A773" s="1">
        <v>10872</v>
      </c>
      <c r="B773" s="1" t="s">
        <v>26</v>
      </c>
      <c r="C773" s="1" t="s">
        <v>27</v>
      </c>
      <c r="D773" t="s">
        <v>64</v>
      </c>
      <c r="E773" s="1">
        <v>250</v>
      </c>
      <c r="F773" s="1">
        <v>500</v>
      </c>
      <c r="G773" s="1">
        <v>848</v>
      </c>
      <c r="H773" s="1">
        <f>Int_breweries[[#This Row],[PLANT_COST]]*Int_breweries[[#This Row],[QUANTITY]]</f>
        <v>212000</v>
      </c>
      <c r="I773" s="1">
        <v>424000</v>
      </c>
      <c r="J773" s="1">
        <v>212000</v>
      </c>
      <c r="K773" s="1" t="s">
        <v>19</v>
      </c>
      <c r="L773" t="s">
        <v>58</v>
      </c>
      <c r="M773" s="1" t="s">
        <v>29</v>
      </c>
      <c r="N773" s="1">
        <v>2017</v>
      </c>
      <c r="O773" t="str" cm="1">
        <f t="array" ref="O773">_xlfn.IFS(OR($K773="Ghana", $K773="Nigeria"), "Anglophone", OR($K773="Togo", $K773="Benin", $K773="Senegal"), "Francophone")</f>
        <v>Anglophone</v>
      </c>
      <c r="P773" s="1" t="str">
        <f>LEFT(Int_breweries[[#This Row],[MONTHS]], 3)</f>
        <v>Apr</v>
      </c>
    </row>
    <row r="774" spans="1:16" ht="12.5" x14ac:dyDescent="0.25">
      <c r="A774" s="1">
        <v>10873</v>
      </c>
      <c r="B774" s="1" t="s">
        <v>22</v>
      </c>
      <c r="C774" s="1" t="s">
        <v>23</v>
      </c>
      <c r="D774" t="s">
        <v>65</v>
      </c>
      <c r="E774" s="1">
        <v>180</v>
      </c>
      <c r="F774" s="1">
        <v>450</v>
      </c>
      <c r="G774" s="1">
        <v>924</v>
      </c>
      <c r="H774" s="1">
        <f>Int_breweries[[#This Row],[PLANT_COST]]*Int_breweries[[#This Row],[QUANTITY]]</f>
        <v>166320</v>
      </c>
      <c r="I774" s="1">
        <v>415800</v>
      </c>
      <c r="J774" s="1">
        <v>249480</v>
      </c>
      <c r="K774" s="1" t="s">
        <v>24</v>
      </c>
      <c r="L774" t="s">
        <v>59</v>
      </c>
      <c r="M774" s="1" t="s">
        <v>33</v>
      </c>
      <c r="N774" s="1">
        <v>2017</v>
      </c>
      <c r="O774" t="str" cm="1">
        <f t="array" ref="O774">_xlfn.IFS(OR($K774="Ghana", $K774="Nigeria"), "Anglophone", OR($K774="Togo", $K774="Benin", $K774="Senegal"), "Francophone")</f>
        <v>Francophone</v>
      </c>
      <c r="P774" s="1" t="str">
        <f>LEFT(Int_breweries[[#This Row],[MONTHS]], 3)</f>
        <v>May</v>
      </c>
    </row>
    <row r="775" spans="1:16" ht="12.5" x14ac:dyDescent="0.25">
      <c r="A775" s="1">
        <v>10874</v>
      </c>
      <c r="B775" s="1" t="s">
        <v>12</v>
      </c>
      <c r="C775" s="1" t="s">
        <v>13</v>
      </c>
      <c r="D775" t="s">
        <v>66</v>
      </c>
      <c r="E775" s="1">
        <v>170</v>
      </c>
      <c r="F775" s="1">
        <v>250</v>
      </c>
      <c r="G775" s="1">
        <v>977</v>
      </c>
      <c r="H775" s="1">
        <f>Int_breweries[[#This Row],[PLANT_COST]]*Int_breweries[[#This Row],[QUANTITY]]</f>
        <v>166090</v>
      </c>
      <c r="I775" s="1">
        <v>244250</v>
      </c>
      <c r="J775" s="1">
        <v>78160</v>
      </c>
      <c r="K775" s="1" t="s">
        <v>28</v>
      </c>
      <c r="L775" t="s">
        <v>60</v>
      </c>
      <c r="M775" s="1" t="s">
        <v>34</v>
      </c>
      <c r="N775" s="1">
        <v>2019</v>
      </c>
      <c r="O775" t="str" cm="1">
        <f t="array" ref="O775">_xlfn.IFS(OR($K775="Ghana", $K775="Nigeria"), "Anglophone", OR($K775="Togo", $K775="Benin", $K775="Senegal"), "Francophone")</f>
        <v>Francophone</v>
      </c>
      <c r="P775" s="1" t="str">
        <f>LEFT(Int_breweries[[#This Row],[MONTHS]], 3)</f>
        <v>Jun</v>
      </c>
    </row>
    <row r="776" spans="1:16" ht="12.5" x14ac:dyDescent="0.25">
      <c r="A776" s="1">
        <v>10875</v>
      </c>
      <c r="B776" s="1" t="s">
        <v>30</v>
      </c>
      <c r="C776" s="1" t="s">
        <v>31</v>
      </c>
      <c r="D776" t="s">
        <v>67</v>
      </c>
      <c r="E776" s="1">
        <v>150</v>
      </c>
      <c r="F776" s="1">
        <v>200</v>
      </c>
      <c r="G776" s="1">
        <v>771</v>
      </c>
      <c r="H776" s="1">
        <f>Int_breweries[[#This Row],[PLANT_COST]]*Int_breweries[[#This Row],[QUANTITY]]</f>
        <v>115650</v>
      </c>
      <c r="I776" s="1">
        <v>154200</v>
      </c>
      <c r="J776" s="1">
        <v>38550</v>
      </c>
      <c r="K776" s="1" t="s">
        <v>32</v>
      </c>
      <c r="L776" t="s">
        <v>61</v>
      </c>
      <c r="M776" s="1" t="s">
        <v>37</v>
      </c>
      <c r="N776" s="1">
        <v>2017</v>
      </c>
      <c r="O776" t="str" cm="1">
        <f t="array" ref="O776">_xlfn.IFS(OR($K776="Ghana", $K776="Nigeria"), "Anglophone", OR($K776="Togo", $K776="Benin", $K776="Senegal"), "Francophone")</f>
        <v>Francophone</v>
      </c>
      <c r="P776" s="1" t="str">
        <f>LEFT(Int_breweries[[#This Row],[MONTHS]], 3)</f>
        <v>Jul</v>
      </c>
    </row>
    <row r="777" spans="1:16" ht="12.5" x14ac:dyDescent="0.25">
      <c r="A777" s="1">
        <v>10876</v>
      </c>
      <c r="B777" s="1" t="s">
        <v>42</v>
      </c>
      <c r="C777" s="1" t="s">
        <v>43</v>
      </c>
      <c r="D777" t="s">
        <v>68</v>
      </c>
      <c r="E777" s="1">
        <v>80</v>
      </c>
      <c r="F777" s="1">
        <v>150</v>
      </c>
      <c r="G777" s="1">
        <v>862</v>
      </c>
      <c r="H777" s="1">
        <f>Int_breweries[[#This Row],[PLANT_COST]]*Int_breweries[[#This Row],[QUANTITY]]</f>
        <v>68960</v>
      </c>
      <c r="I777" s="1">
        <v>129300</v>
      </c>
      <c r="J777" s="1">
        <v>60340</v>
      </c>
      <c r="K777" s="1" t="s">
        <v>14</v>
      </c>
      <c r="L777" t="s">
        <v>62</v>
      </c>
      <c r="M777" s="1" t="s">
        <v>38</v>
      </c>
      <c r="N777" s="1">
        <v>2017</v>
      </c>
      <c r="O777" t="str" cm="1">
        <f t="array" ref="O777">_xlfn.IFS(OR($K777="Ghana", $K777="Nigeria"), "Anglophone", OR($K777="Togo", $K777="Benin", $K777="Senegal"), "Francophone")</f>
        <v>Anglophone</v>
      </c>
      <c r="P777" s="1" t="str">
        <f>LEFT(Int_breweries[[#This Row],[MONTHS]], 3)</f>
        <v>Aug</v>
      </c>
    </row>
    <row r="778" spans="1:16" ht="12.5" x14ac:dyDescent="0.25">
      <c r="A778" s="1">
        <v>10877</v>
      </c>
      <c r="B778" s="1" t="s">
        <v>17</v>
      </c>
      <c r="C778" s="1" t="s">
        <v>18</v>
      </c>
      <c r="D778" t="s">
        <v>69</v>
      </c>
      <c r="E778" s="1">
        <v>90</v>
      </c>
      <c r="F778" s="1">
        <v>150</v>
      </c>
      <c r="G778" s="1">
        <v>716</v>
      </c>
      <c r="H778" s="1">
        <f>Int_breweries[[#This Row],[PLANT_COST]]*Int_breweries[[#This Row],[QUANTITY]]</f>
        <v>64440</v>
      </c>
      <c r="I778" s="1">
        <v>107400</v>
      </c>
      <c r="J778" s="1">
        <v>42960</v>
      </c>
      <c r="K778" s="1" t="s">
        <v>19</v>
      </c>
      <c r="L778" t="s">
        <v>15</v>
      </c>
      <c r="M778" s="1" t="s">
        <v>41</v>
      </c>
      <c r="N778" s="1">
        <v>2019</v>
      </c>
      <c r="O778" t="str" cm="1">
        <f t="array" ref="O778">_xlfn.IFS(OR($K778="Ghana", $K778="Nigeria"), "Anglophone", OR($K778="Togo", $K778="Benin", $K778="Senegal"), "Francophone")</f>
        <v>Anglophone</v>
      </c>
      <c r="P778" s="1" t="str">
        <f>LEFT(Int_breweries[[#This Row],[MONTHS]], 3)</f>
        <v>Sep</v>
      </c>
    </row>
    <row r="779" spans="1:16" ht="12.5" x14ac:dyDescent="0.25">
      <c r="A779" s="1">
        <v>10878</v>
      </c>
      <c r="B779" s="1" t="s">
        <v>17</v>
      </c>
      <c r="C779" s="1" t="s">
        <v>18</v>
      </c>
      <c r="D779" t="s">
        <v>63</v>
      </c>
      <c r="E779" s="1">
        <v>150</v>
      </c>
      <c r="F779" s="1">
        <v>200</v>
      </c>
      <c r="G779" s="1">
        <v>923</v>
      </c>
      <c r="H779" s="1">
        <f>Int_breweries[[#This Row],[PLANT_COST]]*Int_breweries[[#This Row],[QUANTITY]]</f>
        <v>138450</v>
      </c>
      <c r="I779" s="1">
        <v>184600</v>
      </c>
      <c r="J779" s="1">
        <v>46150</v>
      </c>
      <c r="K779" s="1" t="s">
        <v>24</v>
      </c>
      <c r="L779" t="s">
        <v>58</v>
      </c>
      <c r="M779" s="1" t="s">
        <v>44</v>
      </c>
      <c r="N779" s="1">
        <v>2017</v>
      </c>
      <c r="O779" t="str" cm="1">
        <f t="array" ref="O779">_xlfn.IFS(OR($K779="Ghana", $K779="Nigeria"), "Anglophone", OR($K779="Togo", $K779="Benin", $K779="Senegal"), "Francophone")</f>
        <v>Francophone</v>
      </c>
      <c r="P779" s="1" t="str">
        <f>LEFT(Int_breweries[[#This Row],[MONTHS]], 3)</f>
        <v>Oct</v>
      </c>
    </row>
    <row r="780" spans="1:16" ht="12.5" x14ac:dyDescent="0.25">
      <c r="A780" s="1">
        <v>10879</v>
      </c>
      <c r="B780" s="1" t="s">
        <v>51</v>
      </c>
      <c r="C780" s="1" t="s">
        <v>52</v>
      </c>
      <c r="D780" t="s">
        <v>64</v>
      </c>
      <c r="E780" s="1">
        <v>250</v>
      </c>
      <c r="F780" s="1">
        <v>500</v>
      </c>
      <c r="G780" s="1">
        <v>729</v>
      </c>
      <c r="H780" s="1">
        <f>Int_breweries[[#This Row],[PLANT_COST]]*Int_breweries[[#This Row],[QUANTITY]]</f>
        <v>182250</v>
      </c>
      <c r="I780" s="1">
        <v>364500</v>
      </c>
      <c r="J780" s="1">
        <v>182250</v>
      </c>
      <c r="K780" s="1" t="s">
        <v>28</v>
      </c>
      <c r="L780" t="s">
        <v>59</v>
      </c>
      <c r="M780" s="1" t="s">
        <v>47</v>
      </c>
      <c r="N780" s="1">
        <v>2018</v>
      </c>
      <c r="O780" t="str" cm="1">
        <f t="array" ref="O780">_xlfn.IFS(OR($K780="Ghana", $K780="Nigeria"), "Anglophone", OR($K780="Togo", $K780="Benin", $K780="Senegal"), "Francophone")</f>
        <v>Francophone</v>
      </c>
      <c r="P780" s="1" t="str">
        <f>LEFT(Int_breweries[[#This Row],[MONTHS]], 3)</f>
        <v>Nov</v>
      </c>
    </row>
    <row r="781" spans="1:16" ht="12.5" x14ac:dyDescent="0.25">
      <c r="A781" s="1">
        <v>10880</v>
      </c>
      <c r="B781" s="1" t="s">
        <v>26</v>
      </c>
      <c r="C781" s="1" t="s">
        <v>27</v>
      </c>
      <c r="D781" t="s">
        <v>65</v>
      </c>
      <c r="E781" s="1">
        <v>180</v>
      </c>
      <c r="F781" s="1">
        <v>450</v>
      </c>
      <c r="G781" s="1">
        <v>766</v>
      </c>
      <c r="H781" s="1">
        <f>Int_breweries[[#This Row],[PLANT_COST]]*Int_breweries[[#This Row],[QUANTITY]]</f>
        <v>137880</v>
      </c>
      <c r="I781" s="1">
        <v>344700</v>
      </c>
      <c r="J781" s="1">
        <v>206820</v>
      </c>
      <c r="K781" s="1" t="s">
        <v>32</v>
      </c>
      <c r="L781" t="s">
        <v>60</v>
      </c>
      <c r="M781" s="1" t="s">
        <v>48</v>
      </c>
      <c r="N781" s="1">
        <v>2017</v>
      </c>
      <c r="O781" t="str" cm="1">
        <f t="array" ref="O781">_xlfn.IFS(OR($K781="Ghana", $K781="Nigeria"), "Anglophone", OR($K781="Togo", $K781="Benin", $K781="Senegal"), "Francophone")</f>
        <v>Francophone</v>
      </c>
      <c r="P781" s="1" t="str">
        <f>LEFT(Int_breweries[[#This Row],[MONTHS]], 3)</f>
        <v>Dec</v>
      </c>
    </row>
    <row r="782" spans="1:16" ht="12.5" x14ac:dyDescent="0.25">
      <c r="A782" s="1">
        <v>10881</v>
      </c>
      <c r="B782" s="1" t="s">
        <v>39</v>
      </c>
      <c r="C782" s="1" t="s">
        <v>40</v>
      </c>
      <c r="D782" t="s">
        <v>66</v>
      </c>
      <c r="E782" s="1">
        <v>170</v>
      </c>
      <c r="F782" s="1">
        <v>250</v>
      </c>
      <c r="G782" s="1">
        <v>704</v>
      </c>
      <c r="H782" s="1">
        <f>Int_breweries[[#This Row],[PLANT_COST]]*Int_breweries[[#This Row],[QUANTITY]]</f>
        <v>119680</v>
      </c>
      <c r="I782" s="1">
        <v>176000</v>
      </c>
      <c r="J782" s="1">
        <v>56320</v>
      </c>
      <c r="K782" s="1" t="s">
        <v>14</v>
      </c>
      <c r="L782" t="s">
        <v>61</v>
      </c>
      <c r="M782" s="1" t="s">
        <v>16</v>
      </c>
      <c r="N782" s="1">
        <v>2019</v>
      </c>
      <c r="O782" t="str" cm="1">
        <f t="array" ref="O782">_xlfn.IFS(OR($K782="Ghana", $K782="Nigeria"), "Anglophone", OR($K782="Togo", $K782="Benin", $K782="Senegal"), "Francophone")</f>
        <v>Anglophone</v>
      </c>
      <c r="P782" s="1" t="str">
        <f>LEFT(Int_breweries[[#This Row],[MONTHS]], 3)</f>
        <v>Jan</v>
      </c>
    </row>
    <row r="783" spans="1:16" ht="12.5" x14ac:dyDescent="0.25">
      <c r="A783" s="1">
        <v>10882</v>
      </c>
      <c r="B783" s="1" t="s">
        <v>51</v>
      </c>
      <c r="C783" s="1" t="s">
        <v>52</v>
      </c>
      <c r="D783" t="s">
        <v>67</v>
      </c>
      <c r="E783" s="1">
        <v>150</v>
      </c>
      <c r="F783" s="1">
        <v>200</v>
      </c>
      <c r="G783" s="1">
        <v>823</v>
      </c>
      <c r="H783" s="1">
        <f>Int_breweries[[#This Row],[PLANT_COST]]*Int_breweries[[#This Row],[QUANTITY]]</f>
        <v>123450</v>
      </c>
      <c r="I783" s="1">
        <v>164600</v>
      </c>
      <c r="J783" s="1">
        <v>41150</v>
      </c>
      <c r="K783" s="1" t="s">
        <v>19</v>
      </c>
      <c r="L783" t="s">
        <v>62</v>
      </c>
      <c r="M783" s="1" t="s">
        <v>21</v>
      </c>
      <c r="N783" s="1">
        <v>2018</v>
      </c>
      <c r="O783" t="str" cm="1">
        <f t="array" ref="O783">_xlfn.IFS(OR($K783="Ghana", $K783="Nigeria"), "Anglophone", OR($K783="Togo", $K783="Benin", $K783="Senegal"), "Francophone")</f>
        <v>Anglophone</v>
      </c>
      <c r="P783" s="1" t="str">
        <f>LEFT(Int_breweries[[#This Row],[MONTHS]], 3)</f>
        <v>Feb</v>
      </c>
    </row>
    <row r="784" spans="1:16" ht="12.5" x14ac:dyDescent="0.25">
      <c r="A784" s="1">
        <v>10883</v>
      </c>
      <c r="B784" s="1" t="s">
        <v>22</v>
      </c>
      <c r="C784" s="1" t="s">
        <v>23</v>
      </c>
      <c r="D784" t="s">
        <v>68</v>
      </c>
      <c r="E784" s="1">
        <v>80</v>
      </c>
      <c r="F784" s="1">
        <v>150</v>
      </c>
      <c r="G784" s="1">
        <v>869</v>
      </c>
      <c r="H784" s="1">
        <f>Int_breweries[[#This Row],[PLANT_COST]]*Int_breweries[[#This Row],[QUANTITY]]</f>
        <v>69520</v>
      </c>
      <c r="I784" s="1">
        <v>130350</v>
      </c>
      <c r="J784" s="1">
        <v>60830</v>
      </c>
      <c r="K784" s="1" t="s">
        <v>24</v>
      </c>
      <c r="L784" t="s">
        <v>15</v>
      </c>
      <c r="M784" s="1" t="s">
        <v>25</v>
      </c>
      <c r="N784" s="1">
        <v>2017</v>
      </c>
      <c r="O784" t="str" cm="1">
        <f t="array" ref="O784">_xlfn.IFS(OR($K784="Ghana", $K784="Nigeria"), "Anglophone", OR($K784="Togo", $K784="Benin", $K784="Senegal"), "Francophone")</f>
        <v>Francophone</v>
      </c>
      <c r="P784" s="1" t="str">
        <f>LEFT(Int_breweries[[#This Row],[MONTHS]], 3)</f>
        <v>Mar</v>
      </c>
    </row>
    <row r="785" spans="1:16" ht="12.5" x14ac:dyDescent="0.25">
      <c r="A785" s="1">
        <v>10884</v>
      </c>
      <c r="B785" s="1" t="s">
        <v>17</v>
      </c>
      <c r="C785" s="1" t="s">
        <v>18</v>
      </c>
      <c r="D785" t="s">
        <v>69</v>
      </c>
      <c r="E785" s="1">
        <v>90</v>
      </c>
      <c r="F785" s="1">
        <v>150</v>
      </c>
      <c r="G785" s="1">
        <v>928</v>
      </c>
      <c r="H785" s="1">
        <f>Int_breweries[[#This Row],[PLANT_COST]]*Int_breweries[[#This Row],[QUANTITY]]</f>
        <v>83520</v>
      </c>
      <c r="I785" s="1">
        <v>139200</v>
      </c>
      <c r="J785" s="1">
        <v>55680</v>
      </c>
      <c r="K785" s="1" t="s">
        <v>28</v>
      </c>
      <c r="L785" t="s">
        <v>58</v>
      </c>
      <c r="M785" s="1" t="s">
        <v>29</v>
      </c>
      <c r="N785" s="1">
        <v>2019</v>
      </c>
      <c r="O785" t="str" cm="1">
        <f t="array" ref="O785">_xlfn.IFS(OR($K785="Ghana", $K785="Nigeria"), "Anglophone", OR($K785="Togo", $K785="Benin", $K785="Senegal"), "Francophone")</f>
        <v>Francophone</v>
      </c>
      <c r="P785" s="1" t="str">
        <f>LEFT(Int_breweries[[#This Row],[MONTHS]], 3)</f>
        <v>Apr</v>
      </c>
    </row>
    <row r="786" spans="1:16" ht="12.5" x14ac:dyDescent="0.25">
      <c r="A786" s="1">
        <v>10885</v>
      </c>
      <c r="B786" s="1" t="s">
        <v>22</v>
      </c>
      <c r="C786" s="1" t="s">
        <v>23</v>
      </c>
      <c r="D786" t="s">
        <v>63</v>
      </c>
      <c r="E786" s="1">
        <v>150</v>
      </c>
      <c r="F786" s="1">
        <v>200</v>
      </c>
      <c r="G786" s="1">
        <v>903</v>
      </c>
      <c r="H786" s="1">
        <f>Int_breweries[[#This Row],[PLANT_COST]]*Int_breweries[[#This Row],[QUANTITY]]</f>
        <v>135450</v>
      </c>
      <c r="I786" s="1">
        <v>180600</v>
      </c>
      <c r="J786" s="1">
        <v>45150</v>
      </c>
      <c r="K786" s="1" t="s">
        <v>32</v>
      </c>
      <c r="L786" t="s">
        <v>59</v>
      </c>
      <c r="M786" s="1" t="s">
        <v>33</v>
      </c>
      <c r="N786" s="1">
        <v>2019</v>
      </c>
      <c r="O786" t="str" cm="1">
        <f t="array" ref="O786">_xlfn.IFS(OR($K786="Ghana", $K786="Nigeria"), "Anglophone", OR($K786="Togo", $K786="Benin", $K786="Senegal"), "Francophone")</f>
        <v>Francophone</v>
      </c>
      <c r="P786" s="1" t="str">
        <f>LEFT(Int_breweries[[#This Row],[MONTHS]], 3)</f>
        <v>May</v>
      </c>
    </row>
    <row r="787" spans="1:16" ht="12.5" x14ac:dyDescent="0.25">
      <c r="A787" s="1">
        <v>10886</v>
      </c>
      <c r="B787" s="1" t="s">
        <v>35</v>
      </c>
      <c r="C787" s="1" t="s">
        <v>36</v>
      </c>
      <c r="D787" t="s">
        <v>64</v>
      </c>
      <c r="E787" s="1">
        <v>250</v>
      </c>
      <c r="F787" s="1">
        <v>500</v>
      </c>
      <c r="G787" s="1">
        <v>916</v>
      </c>
      <c r="H787" s="1">
        <f>Int_breweries[[#This Row],[PLANT_COST]]*Int_breweries[[#This Row],[QUANTITY]]</f>
        <v>229000</v>
      </c>
      <c r="I787" s="1">
        <v>458000</v>
      </c>
      <c r="J787" s="1">
        <v>229000</v>
      </c>
      <c r="K787" s="1" t="s">
        <v>14</v>
      </c>
      <c r="L787" t="s">
        <v>60</v>
      </c>
      <c r="M787" s="1" t="s">
        <v>34</v>
      </c>
      <c r="N787" s="1">
        <v>2018</v>
      </c>
      <c r="O787" t="str" cm="1">
        <f t="array" ref="O787">_xlfn.IFS(OR($K787="Ghana", $K787="Nigeria"), "Anglophone", OR($K787="Togo", $K787="Benin", $K787="Senegal"), "Francophone")</f>
        <v>Anglophone</v>
      </c>
      <c r="P787" s="1" t="str">
        <f>LEFT(Int_breweries[[#This Row],[MONTHS]], 3)</f>
        <v>Jun</v>
      </c>
    </row>
    <row r="788" spans="1:16" ht="12.5" x14ac:dyDescent="0.25">
      <c r="A788" s="1">
        <v>10887</v>
      </c>
      <c r="B788" s="1" t="s">
        <v>30</v>
      </c>
      <c r="C788" s="1" t="s">
        <v>31</v>
      </c>
      <c r="D788" t="s">
        <v>65</v>
      </c>
      <c r="E788" s="1">
        <v>180</v>
      </c>
      <c r="F788" s="1">
        <v>450</v>
      </c>
      <c r="G788" s="1">
        <v>988</v>
      </c>
      <c r="H788" s="1">
        <f>Int_breweries[[#This Row],[PLANT_COST]]*Int_breweries[[#This Row],[QUANTITY]]</f>
        <v>177840</v>
      </c>
      <c r="I788" s="1">
        <v>444600</v>
      </c>
      <c r="J788" s="1">
        <v>266760</v>
      </c>
      <c r="K788" s="1" t="s">
        <v>19</v>
      </c>
      <c r="L788" t="s">
        <v>61</v>
      </c>
      <c r="M788" s="1" t="s">
        <v>37</v>
      </c>
      <c r="N788" s="1">
        <v>2018</v>
      </c>
      <c r="O788" t="str" cm="1">
        <f t="array" ref="O788">_xlfn.IFS(OR($K788="Ghana", $K788="Nigeria"), "Anglophone", OR($K788="Togo", $K788="Benin", $K788="Senegal"), "Francophone")</f>
        <v>Anglophone</v>
      </c>
      <c r="P788" s="1" t="str">
        <f>LEFT(Int_breweries[[#This Row],[MONTHS]], 3)</f>
        <v>Jul</v>
      </c>
    </row>
    <row r="789" spans="1:16" ht="12.5" x14ac:dyDescent="0.25">
      <c r="A789" s="1">
        <v>10888</v>
      </c>
      <c r="B789" s="1" t="s">
        <v>12</v>
      </c>
      <c r="C789" s="1" t="s">
        <v>13</v>
      </c>
      <c r="D789" t="s">
        <v>66</v>
      </c>
      <c r="E789" s="1">
        <v>170</v>
      </c>
      <c r="F789" s="1">
        <v>250</v>
      </c>
      <c r="G789" s="1">
        <v>905</v>
      </c>
      <c r="H789" s="1">
        <f>Int_breweries[[#This Row],[PLANT_COST]]*Int_breweries[[#This Row],[QUANTITY]]</f>
        <v>153850</v>
      </c>
      <c r="I789" s="1">
        <v>226250</v>
      </c>
      <c r="J789" s="1">
        <v>72400</v>
      </c>
      <c r="K789" s="1" t="s">
        <v>24</v>
      </c>
      <c r="L789" t="s">
        <v>62</v>
      </c>
      <c r="M789" s="1" t="s">
        <v>38</v>
      </c>
      <c r="N789" s="1">
        <v>2017</v>
      </c>
      <c r="O789" t="str" cm="1">
        <f t="array" ref="O789">_xlfn.IFS(OR($K789="Ghana", $K789="Nigeria"), "Anglophone", OR($K789="Togo", $K789="Benin", $K789="Senegal"), "Francophone")</f>
        <v>Francophone</v>
      </c>
      <c r="P789" s="1" t="str">
        <f>LEFT(Int_breweries[[#This Row],[MONTHS]], 3)</f>
        <v>Aug</v>
      </c>
    </row>
    <row r="790" spans="1:16" ht="12.5" x14ac:dyDescent="0.25">
      <c r="A790" s="1">
        <v>10889</v>
      </c>
      <c r="B790" s="1" t="s">
        <v>12</v>
      </c>
      <c r="C790" s="1" t="s">
        <v>13</v>
      </c>
      <c r="D790" t="s">
        <v>67</v>
      </c>
      <c r="E790" s="1">
        <v>150</v>
      </c>
      <c r="F790" s="1">
        <v>200</v>
      </c>
      <c r="G790" s="1">
        <v>947</v>
      </c>
      <c r="H790" s="1">
        <f>Int_breweries[[#This Row],[PLANT_COST]]*Int_breweries[[#This Row],[QUANTITY]]</f>
        <v>142050</v>
      </c>
      <c r="I790" s="1">
        <v>189400</v>
      </c>
      <c r="J790" s="1">
        <v>47350</v>
      </c>
      <c r="K790" s="1" t="s">
        <v>28</v>
      </c>
      <c r="L790" t="s">
        <v>15</v>
      </c>
      <c r="M790" s="1" t="s">
        <v>41</v>
      </c>
      <c r="N790" s="1">
        <v>2018</v>
      </c>
      <c r="O790" t="str" cm="1">
        <f t="array" ref="O790">_xlfn.IFS(OR($K790="Ghana", $K790="Nigeria"), "Anglophone", OR($K790="Togo", $K790="Benin", $K790="Senegal"), "Francophone")</f>
        <v>Francophone</v>
      </c>
      <c r="P790" s="1" t="str">
        <f>LEFT(Int_breweries[[#This Row],[MONTHS]], 3)</f>
        <v>Sep</v>
      </c>
    </row>
    <row r="791" spans="1:16" ht="12.5" x14ac:dyDescent="0.25">
      <c r="A791" s="1">
        <v>10890</v>
      </c>
      <c r="B791" s="1" t="s">
        <v>30</v>
      </c>
      <c r="C791" s="1" t="s">
        <v>31</v>
      </c>
      <c r="D791" t="s">
        <v>68</v>
      </c>
      <c r="E791" s="1">
        <v>80</v>
      </c>
      <c r="F791" s="1">
        <v>150</v>
      </c>
      <c r="G791" s="1">
        <v>926</v>
      </c>
      <c r="H791" s="1">
        <f>Int_breweries[[#This Row],[PLANT_COST]]*Int_breweries[[#This Row],[QUANTITY]]</f>
        <v>74080</v>
      </c>
      <c r="I791" s="1">
        <v>138900</v>
      </c>
      <c r="J791" s="1">
        <v>64820</v>
      </c>
      <c r="K791" s="1" t="s">
        <v>32</v>
      </c>
      <c r="L791" t="s">
        <v>58</v>
      </c>
      <c r="M791" s="1" t="s">
        <v>44</v>
      </c>
      <c r="N791" s="1">
        <v>2017</v>
      </c>
      <c r="O791" t="str" cm="1">
        <f t="array" ref="O791">_xlfn.IFS(OR($K791="Ghana", $K791="Nigeria"), "Anglophone", OR($K791="Togo", $K791="Benin", $K791="Senegal"), "Francophone")</f>
        <v>Francophone</v>
      </c>
      <c r="P791" s="1" t="str">
        <f>LEFT(Int_breweries[[#This Row],[MONTHS]], 3)</f>
        <v>Oct</v>
      </c>
    </row>
    <row r="792" spans="1:16" ht="12.5" x14ac:dyDescent="0.25">
      <c r="A792" s="1">
        <v>10891</v>
      </c>
      <c r="B792" s="1" t="s">
        <v>12</v>
      </c>
      <c r="C792" s="1" t="s">
        <v>13</v>
      </c>
      <c r="D792" t="s">
        <v>69</v>
      </c>
      <c r="E792" s="1">
        <v>90</v>
      </c>
      <c r="F792" s="1">
        <v>150</v>
      </c>
      <c r="G792" s="1">
        <v>907</v>
      </c>
      <c r="H792" s="1">
        <f>Int_breweries[[#This Row],[PLANT_COST]]*Int_breweries[[#This Row],[QUANTITY]]</f>
        <v>81630</v>
      </c>
      <c r="I792" s="1">
        <v>136050</v>
      </c>
      <c r="J792" s="1">
        <v>54420</v>
      </c>
      <c r="K792" s="1" t="s">
        <v>14</v>
      </c>
      <c r="L792" t="s">
        <v>59</v>
      </c>
      <c r="M792" s="1" t="s">
        <v>47</v>
      </c>
      <c r="N792" s="1">
        <v>2019</v>
      </c>
      <c r="O792" t="str" cm="1">
        <f t="array" ref="O792">_xlfn.IFS(OR($K792="Ghana", $K792="Nigeria"), "Anglophone", OR($K792="Togo", $K792="Benin", $K792="Senegal"), "Francophone")</f>
        <v>Anglophone</v>
      </c>
      <c r="P792" s="1" t="str">
        <f>LEFT(Int_breweries[[#This Row],[MONTHS]], 3)</f>
        <v>Nov</v>
      </c>
    </row>
    <row r="793" spans="1:16" ht="12.5" x14ac:dyDescent="0.25">
      <c r="A793" s="1">
        <v>10892</v>
      </c>
      <c r="B793" s="1" t="s">
        <v>17</v>
      </c>
      <c r="C793" s="1" t="s">
        <v>18</v>
      </c>
      <c r="D793" t="s">
        <v>63</v>
      </c>
      <c r="E793" s="1">
        <v>150</v>
      </c>
      <c r="F793" s="1">
        <v>200</v>
      </c>
      <c r="G793" s="1">
        <v>848</v>
      </c>
      <c r="H793" s="1">
        <f>Int_breweries[[#This Row],[PLANT_COST]]*Int_breweries[[#This Row],[QUANTITY]]</f>
        <v>127200</v>
      </c>
      <c r="I793" s="1">
        <v>169600</v>
      </c>
      <c r="J793" s="1">
        <v>42400</v>
      </c>
      <c r="K793" s="1" t="s">
        <v>19</v>
      </c>
      <c r="L793" t="s">
        <v>60</v>
      </c>
      <c r="M793" s="1" t="s">
        <v>48</v>
      </c>
      <c r="N793" s="1">
        <v>2019</v>
      </c>
      <c r="O793" t="str" cm="1">
        <f t="array" ref="O793">_xlfn.IFS(OR($K793="Ghana", $K793="Nigeria"), "Anglophone", OR($K793="Togo", $K793="Benin", $K793="Senegal"), "Francophone")</f>
        <v>Anglophone</v>
      </c>
      <c r="P793" s="1" t="str">
        <f>LEFT(Int_breweries[[#This Row],[MONTHS]], 3)</f>
        <v>Dec</v>
      </c>
    </row>
    <row r="794" spans="1:16" ht="12.5" x14ac:dyDescent="0.25">
      <c r="A794" s="1">
        <v>10893</v>
      </c>
      <c r="B794" s="1" t="s">
        <v>22</v>
      </c>
      <c r="C794" s="1" t="s">
        <v>23</v>
      </c>
      <c r="D794" t="s">
        <v>64</v>
      </c>
      <c r="E794" s="1">
        <v>250</v>
      </c>
      <c r="F794" s="1">
        <v>500</v>
      </c>
      <c r="G794" s="1">
        <v>878</v>
      </c>
      <c r="H794" s="1">
        <f>Int_breweries[[#This Row],[PLANT_COST]]*Int_breweries[[#This Row],[QUANTITY]]</f>
        <v>219500</v>
      </c>
      <c r="I794" s="1">
        <v>439000</v>
      </c>
      <c r="J794" s="1">
        <v>219500</v>
      </c>
      <c r="K794" s="1" t="s">
        <v>24</v>
      </c>
      <c r="L794" t="s">
        <v>61</v>
      </c>
      <c r="M794" s="1" t="s">
        <v>16</v>
      </c>
      <c r="N794" s="1">
        <v>2017</v>
      </c>
      <c r="O794" t="str" cm="1">
        <f t="array" ref="O794">_xlfn.IFS(OR($K794="Ghana", $K794="Nigeria"), "Anglophone", OR($K794="Togo", $K794="Benin", $K794="Senegal"), "Francophone")</f>
        <v>Francophone</v>
      </c>
      <c r="P794" s="1" t="str">
        <f>LEFT(Int_breweries[[#This Row],[MONTHS]], 3)</f>
        <v>Jan</v>
      </c>
    </row>
    <row r="795" spans="1:16" ht="12.5" x14ac:dyDescent="0.25">
      <c r="A795" s="1">
        <v>10894</v>
      </c>
      <c r="B795" s="1" t="s">
        <v>26</v>
      </c>
      <c r="C795" s="1" t="s">
        <v>27</v>
      </c>
      <c r="D795" t="s">
        <v>65</v>
      </c>
      <c r="E795" s="1">
        <v>180</v>
      </c>
      <c r="F795" s="1">
        <v>450</v>
      </c>
      <c r="G795" s="1">
        <v>706</v>
      </c>
      <c r="H795" s="1">
        <f>Int_breweries[[#This Row],[PLANT_COST]]*Int_breweries[[#This Row],[QUANTITY]]</f>
        <v>127080</v>
      </c>
      <c r="I795" s="1">
        <v>317700</v>
      </c>
      <c r="J795" s="1">
        <v>190620</v>
      </c>
      <c r="K795" s="1" t="s">
        <v>28</v>
      </c>
      <c r="L795" t="s">
        <v>62</v>
      </c>
      <c r="M795" s="1" t="s">
        <v>21</v>
      </c>
      <c r="N795" s="1">
        <v>2018</v>
      </c>
      <c r="O795" t="str" cm="1">
        <f t="array" ref="O795">_xlfn.IFS(OR($K795="Ghana", $K795="Nigeria"), "Anglophone", OR($K795="Togo", $K795="Benin", $K795="Senegal"), "Francophone")</f>
        <v>Francophone</v>
      </c>
      <c r="P795" s="1" t="str">
        <f>LEFT(Int_breweries[[#This Row],[MONTHS]], 3)</f>
        <v>Feb</v>
      </c>
    </row>
    <row r="796" spans="1:16" ht="12.5" x14ac:dyDescent="0.25">
      <c r="A796" s="1">
        <v>10895</v>
      </c>
      <c r="B796" s="1" t="s">
        <v>30</v>
      </c>
      <c r="C796" s="1" t="s">
        <v>31</v>
      </c>
      <c r="D796" t="s">
        <v>66</v>
      </c>
      <c r="E796" s="1">
        <v>170</v>
      </c>
      <c r="F796" s="1">
        <v>250</v>
      </c>
      <c r="G796" s="1">
        <v>781</v>
      </c>
      <c r="H796" s="1">
        <f>Int_breweries[[#This Row],[PLANT_COST]]*Int_breweries[[#This Row],[QUANTITY]]</f>
        <v>132770</v>
      </c>
      <c r="I796" s="1">
        <v>195250</v>
      </c>
      <c r="J796" s="1">
        <v>62480</v>
      </c>
      <c r="K796" s="1" t="s">
        <v>32</v>
      </c>
      <c r="L796" t="s">
        <v>15</v>
      </c>
      <c r="M796" s="1" t="s">
        <v>25</v>
      </c>
      <c r="N796" s="1">
        <v>2019</v>
      </c>
      <c r="O796" t="str" cm="1">
        <f t="array" ref="O796">_xlfn.IFS(OR($K796="Ghana", $K796="Nigeria"), "Anglophone", OR($K796="Togo", $K796="Benin", $K796="Senegal"), "Francophone")</f>
        <v>Francophone</v>
      </c>
      <c r="P796" s="1" t="str">
        <f>LEFT(Int_breweries[[#This Row],[MONTHS]], 3)</f>
        <v>Mar</v>
      </c>
    </row>
    <row r="797" spans="1:16" ht="12.5" x14ac:dyDescent="0.25">
      <c r="A797" s="1">
        <v>10896</v>
      </c>
      <c r="B797" s="1" t="s">
        <v>12</v>
      </c>
      <c r="C797" s="1" t="s">
        <v>13</v>
      </c>
      <c r="D797" t="s">
        <v>67</v>
      </c>
      <c r="E797" s="1">
        <v>150</v>
      </c>
      <c r="F797" s="1">
        <v>200</v>
      </c>
      <c r="G797" s="1">
        <v>818</v>
      </c>
      <c r="H797" s="1">
        <f>Int_breweries[[#This Row],[PLANT_COST]]*Int_breweries[[#This Row],[QUANTITY]]</f>
        <v>122700</v>
      </c>
      <c r="I797" s="1">
        <v>163600</v>
      </c>
      <c r="J797" s="1">
        <v>40900</v>
      </c>
      <c r="K797" s="1" t="s">
        <v>14</v>
      </c>
      <c r="L797" t="s">
        <v>58</v>
      </c>
      <c r="M797" s="1" t="s">
        <v>29</v>
      </c>
      <c r="N797" s="1">
        <v>2017</v>
      </c>
      <c r="O797" t="str" cm="1">
        <f t="array" ref="O797">_xlfn.IFS(OR($K797="Ghana", $K797="Nigeria"), "Anglophone", OR($K797="Togo", $K797="Benin", $K797="Senegal"), "Francophone")</f>
        <v>Anglophone</v>
      </c>
      <c r="P797" s="1" t="str">
        <f>LEFT(Int_breweries[[#This Row],[MONTHS]], 3)</f>
        <v>Apr</v>
      </c>
    </row>
    <row r="798" spans="1:16" ht="12.5" x14ac:dyDescent="0.25">
      <c r="A798" s="1">
        <v>10897</v>
      </c>
      <c r="B798" s="1" t="s">
        <v>35</v>
      </c>
      <c r="C798" s="1" t="s">
        <v>36</v>
      </c>
      <c r="D798" t="s">
        <v>68</v>
      </c>
      <c r="E798" s="1">
        <v>80</v>
      </c>
      <c r="F798" s="1">
        <v>150</v>
      </c>
      <c r="G798" s="1">
        <v>852</v>
      </c>
      <c r="H798" s="1">
        <f>Int_breweries[[#This Row],[PLANT_COST]]*Int_breweries[[#This Row],[QUANTITY]]</f>
        <v>68160</v>
      </c>
      <c r="I798" s="1">
        <v>127800</v>
      </c>
      <c r="J798" s="1">
        <v>59640</v>
      </c>
      <c r="K798" s="1" t="s">
        <v>19</v>
      </c>
      <c r="L798" t="s">
        <v>59</v>
      </c>
      <c r="M798" s="1" t="s">
        <v>33</v>
      </c>
      <c r="N798" s="1">
        <v>2017</v>
      </c>
      <c r="O798" t="str" cm="1">
        <f t="array" ref="O798">_xlfn.IFS(OR($K798="Ghana", $K798="Nigeria"), "Anglophone", OR($K798="Togo", $K798="Benin", $K798="Senegal"), "Francophone")</f>
        <v>Anglophone</v>
      </c>
      <c r="P798" s="1" t="str">
        <f>LEFT(Int_breweries[[#This Row],[MONTHS]], 3)</f>
        <v>May</v>
      </c>
    </row>
    <row r="799" spans="1:16" ht="12.5" x14ac:dyDescent="0.25">
      <c r="A799" s="1">
        <v>10898</v>
      </c>
      <c r="B799" s="1" t="s">
        <v>26</v>
      </c>
      <c r="C799" s="1" t="s">
        <v>27</v>
      </c>
      <c r="D799" t="s">
        <v>69</v>
      </c>
      <c r="E799" s="1">
        <v>90</v>
      </c>
      <c r="F799" s="1">
        <v>150</v>
      </c>
      <c r="G799" s="1">
        <v>786</v>
      </c>
      <c r="H799" s="1">
        <f>Int_breweries[[#This Row],[PLANT_COST]]*Int_breweries[[#This Row],[QUANTITY]]</f>
        <v>70740</v>
      </c>
      <c r="I799" s="1">
        <v>117900</v>
      </c>
      <c r="J799" s="1">
        <v>47160</v>
      </c>
      <c r="K799" s="1" t="s">
        <v>24</v>
      </c>
      <c r="L799" t="s">
        <v>60</v>
      </c>
      <c r="M799" s="1" t="s">
        <v>34</v>
      </c>
      <c r="N799" s="1">
        <v>2019</v>
      </c>
      <c r="O799" t="str" cm="1">
        <f t="array" ref="O799">_xlfn.IFS(OR($K799="Ghana", $K799="Nigeria"), "Anglophone", OR($K799="Togo", $K799="Benin", $K799="Senegal"), "Francophone")</f>
        <v>Francophone</v>
      </c>
      <c r="P799" s="1" t="str">
        <f>LEFT(Int_breweries[[#This Row],[MONTHS]], 3)</f>
        <v>Jun</v>
      </c>
    </row>
    <row r="800" spans="1:16" ht="12.5" x14ac:dyDescent="0.25">
      <c r="A800" s="1">
        <v>10899</v>
      </c>
      <c r="B800" s="1" t="s">
        <v>39</v>
      </c>
      <c r="C800" s="1" t="s">
        <v>40</v>
      </c>
      <c r="D800" t="s">
        <v>63</v>
      </c>
      <c r="E800" s="1">
        <v>150</v>
      </c>
      <c r="F800" s="1">
        <v>200</v>
      </c>
      <c r="G800" s="1">
        <v>1000</v>
      </c>
      <c r="H800" s="1">
        <f>Int_breweries[[#This Row],[PLANT_COST]]*Int_breweries[[#This Row],[QUANTITY]]</f>
        <v>150000</v>
      </c>
      <c r="I800" s="1">
        <v>200000</v>
      </c>
      <c r="J800" s="1">
        <v>50000</v>
      </c>
      <c r="K800" s="1" t="s">
        <v>28</v>
      </c>
      <c r="L800" t="s">
        <v>61</v>
      </c>
      <c r="M800" s="1" t="s">
        <v>37</v>
      </c>
      <c r="N800" s="1">
        <v>2018</v>
      </c>
      <c r="O800" t="str" cm="1">
        <f t="array" ref="O800">_xlfn.IFS(OR($K800="Ghana", $K800="Nigeria"), "Anglophone", OR($K800="Togo", $K800="Benin", $K800="Senegal"), "Francophone")</f>
        <v>Francophone</v>
      </c>
      <c r="P800" s="1" t="str">
        <f>LEFT(Int_breweries[[#This Row],[MONTHS]], 3)</f>
        <v>Jul</v>
      </c>
    </row>
    <row r="801" spans="1:16" ht="12.5" x14ac:dyDescent="0.25">
      <c r="A801" s="1">
        <v>10900</v>
      </c>
      <c r="B801" s="1" t="s">
        <v>42</v>
      </c>
      <c r="C801" s="1" t="s">
        <v>43</v>
      </c>
      <c r="D801" t="s">
        <v>64</v>
      </c>
      <c r="E801" s="1">
        <v>250</v>
      </c>
      <c r="F801" s="1">
        <v>500</v>
      </c>
      <c r="G801" s="1">
        <v>952</v>
      </c>
      <c r="H801" s="1">
        <f>Int_breweries[[#This Row],[PLANT_COST]]*Int_breweries[[#This Row],[QUANTITY]]</f>
        <v>238000</v>
      </c>
      <c r="I801" s="1">
        <v>476000</v>
      </c>
      <c r="J801" s="1">
        <v>238000</v>
      </c>
      <c r="K801" s="1" t="s">
        <v>32</v>
      </c>
      <c r="L801" t="s">
        <v>62</v>
      </c>
      <c r="M801" s="1" t="s">
        <v>38</v>
      </c>
      <c r="N801" s="1">
        <v>2017</v>
      </c>
      <c r="O801" t="str" cm="1">
        <f t="array" ref="O801">_xlfn.IFS(OR($K801="Ghana", $K801="Nigeria"), "Anglophone", OR($K801="Togo", $K801="Benin", $K801="Senegal"), "Francophone")</f>
        <v>Francophone</v>
      </c>
      <c r="P801" s="1" t="str">
        <f>LEFT(Int_breweries[[#This Row],[MONTHS]], 3)</f>
        <v>Aug</v>
      </c>
    </row>
    <row r="802" spans="1:16" ht="12.5" x14ac:dyDescent="0.25">
      <c r="A802" s="1">
        <v>10901</v>
      </c>
      <c r="B802" s="1" t="s">
        <v>45</v>
      </c>
      <c r="C802" s="1" t="s">
        <v>46</v>
      </c>
      <c r="D802" t="s">
        <v>65</v>
      </c>
      <c r="E802" s="1">
        <v>180</v>
      </c>
      <c r="F802" s="1">
        <v>450</v>
      </c>
      <c r="G802" s="1">
        <v>839</v>
      </c>
      <c r="H802" s="1">
        <f>Int_breweries[[#This Row],[PLANT_COST]]*Int_breweries[[#This Row],[QUANTITY]]</f>
        <v>151020</v>
      </c>
      <c r="I802" s="1">
        <v>377550</v>
      </c>
      <c r="J802" s="1">
        <v>226530</v>
      </c>
      <c r="K802" s="1" t="s">
        <v>14</v>
      </c>
      <c r="L802" t="s">
        <v>15</v>
      </c>
      <c r="M802" s="1" t="s">
        <v>41</v>
      </c>
      <c r="N802" s="1">
        <v>2018</v>
      </c>
      <c r="O802" t="str" cm="1">
        <f t="array" ref="O802">_xlfn.IFS(OR($K802="Ghana", $K802="Nigeria"), "Anglophone", OR($K802="Togo", $K802="Benin", $K802="Senegal"), "Francophone")</f>
        <v>Anglophone</v>
      </c>
      <c r="P802" s="1" t="str">
        <f>LEFT(Int_breweries[[#This Row],[MONTHS]], 3)</f>
        <v>Sep</v>
      </c>
    </row>
    <row r="803" spans="1:16" ht="12.5" x14ac:dyDescent="0.25">
      <c r="A803" s="1">
        <v>10902</v>
      </c>
      <c r="B803" s="1" t="s">
        <v>26</v>
      </c>
      <c r="C803" s="1" t="s">
        <v>27</v>
      </c>
      <c r="D803" t="s">
        <v>66</v>
      </c>
      <c r="E803" s="1">
        <v>170</v>
      </c>
      <c r="F803" s="1">
        <v>250</v>
      </c>
      <c r="G803" s="1">
        <v>952</v>
      </c>
      <c r="H803" s="1">
        <f>Int_breweries[[#This Row],[PLANT_COST]]*Int_breweries[[#This Row],[QUANTITY]]</f>
        <v>161840</v>
      </c>
      <c r="I803" s="1">
        <v>238000</v>
      </c>
      <c r="J803" s="1">
        <v>76160</v>
      </c>
      <c r="K803" s="1" t="s">
        <v>19</v>
      </c>
      <c r="L803" t="s">
        <v>58</v>
      </c>
      <c r="M803" s="1" t="s">
        <v>44</v>
      </c>
      <c r="N803" s="1">
        <v>2017</v>
      </c>
      <c r="O803" t="str" cm="1">
        <f t="array" ref="O803">_xlfn.IFS(OR($K803="Ghana", $K803="Nigeria"), "Anglophone", OR($K803="Togo", $K803="Benin", $K803="Senegal"), "Francophone")</f>
        <v>Anglophone</v>
      </c>
      <c r="P803" s="1" t="str">
        <f>LEFT(Int_breweries[[#This Row],[MONTHS]], 3)</f>
        <v>Oct</v>
      </c>
    </row>
    <row r="804" spans="1:16" ht="12.5" x14ac:dyDescent="0.25">
      <c r="A804" s="1">
        <v>10903</v>
      </c>
      <c r="B804" s="1" t="s">
        <v>49</v>
      </c>
      <c r="C804" s="1" t="s">
        <v>50</v>
      </c>
      <c r="D804" t="s">
        <v>67</v>
      </c>
      <c r="E804" s="1">
        <v>150</v>
      </c>
      <c r="F804" s="1">
        <v>200</v>
      </c>
      <c r="G804" s="1">
        <v>777</v>
      </c>
      <c r="H804" s="1">
        <f>Int_breweries[[#This Row],[PLANT_COST]]*Int_breweries[[#This Row],[QUANTITY]]</f>
        <v>116550</v>
      </c>
      <c r="I804" s="1">
        <v>155400</v>
      </c>
      <c r="J804" s="1">
        <v>38850</v>
      </c>
      <c r="K804" s="1" t="s">
        <v>24</v>
      </c>
      <c r="L804" t="s">
        <v>59</v>
      </c>
      <c r="M804" s="1" t="s">
        <v>47</v>
      </c>
      <c r="N804" s="1">
        <v>2017</v>
      </c>
      <c r="O804" t="str" cm="1">
        <f t="array" ref="O804">_xlfn.IFS(OR($K804="Ghana", $K804="Nigeria"), "Anglophone", OR($K804="Togo", $K804="Benin", $K804="Senegal"), "Francophone")</f>
        <v>Francophone</v>
      </c>
      <c r="P804" s="1" t="str">
        <f>LEFT(Int_breweries[[#This Row],[MONTHS]], 3)</f>
        <v>Nov</v>
      </c>
    </row>
    <row r="805" spans="1:16" ht="12.5" x14ac:dyDescent="0.25">
      <c r="A805" s="1">
        <v>10904</v>
      </c>
      <c r="B805" s="1" t="s">
        <v>26</v>
      </c>
      <c r="C805" s="1" t="s">
        <v>27</v>
      </c>
      <c r="D805" t="s">
        <v>68</v>
      </c>
      <c r="E805" s="1">
        <v>80</v>
      </c>
      <c r="F805" s="1">
        <v>150</v>
      </c>
      <c r="G805" s="1">
        <v>864</v>
      </c>
      <c r="H805" s="1">
        <f>Int_breweries[[#This Row],[PLANT_COST]]*Int_breweries[[#This Row],[QUANTITY]]</f>
        <v>69120</v>
      </c>
      <c r="I805" s="1">
        <v>129600</v>
      </c>
      <c r="J805" s="1">
        <v>60480</v>
      </c>
      <c r="K805" s="1" t="s">
        <v>28</v>
      </c>
      <c r="L805" t="s">
        <v>60</v>
      </c>
      <c r="M805" s="1" t="s">
        <v>48</v>
      </c>
      <c r="N805" s="1">
        <v>2018</v>
      </c>
      <c r="O805" t="str" cm="1">
        <f t="array" ref="O805">_xlfn.IFS(OR($K805="Ghana", $K805="Nigeria"), "Anglophone", OR($K805="Togo", $K805="Benin", $K805="Senegal"), "Francophone")</f>
        <v>Francophone</v>
      </c>
      <c r="P805" s="1" t="str">
        <f>LEFT(Int_breweries[[#This Row],[MONTHS]], 3)</f>
        <v>Dec</v>
      </c>
    </row>
    <row r="806" spans="1:16" ht="12.5" x14ac:dyDescent="0.25">
      <c r="A806" s="1">
        <v>10905</v>
      </c>
      <c r="B806" s="1" t="s">
        <v>39</v>
      </c>
      <c r="C806" s="1" t="s">
        <v>40</v>
      </c>
      <c r="D806" t="s">
        <v>69</v>
      </c>
      <c r="E806" s="1">
        <v>90</v>
      </c>
      <c r="F806" s="1">
        <v>150</v>
      </c>
      <c r="G806" s="1">
        <v>934</v>
      </c>
      <c r="H806" s="1">
        <f>Int_breweries[[#This Row],[PLANT_COST]]*Int_breweries[[#This Row],[QUANTITY]]</f>
        <v>84060</v>
      </c>
      <c r="I806" s="1">
        <v>140100</v>
      </c>
      <c r="J806" s="1">
        <v>56040</v>
      </c>
      <c r="K806" s="1" t="s">
        <v>32</v>
      </c>
      <c r="L806" t="s">
        <v>61</v>
      </c>
      <c r="M806" s="1" t="s">
        <v>16</v>
      </c>
      <c r="N806" s="1">
        <v>2017</v>
      </c>
      <c r="O806" t="str" cm="1">
        <f t="array" ref="O806">_xlfn.IFS(OR($K806="Ghana", $K806="Nigeria"), "Anglophone", OR($K806="Togo", $K806="Benin", $K806="Senegal"), "Francophone")</f>
        <v>Francophone</v>
      </c>
      <c r="P806" s="1" t="str">
        <f>LEFT(Int_breweries[[#This Row],[MONTHS]], 3)</f>
        <v>Jan</v>
      </c>
    </row>
    <row r="807" spans="1:16" ht="12.5" x14ac:dyDescent="0.25">
      <c r="A807" s="1">
        <v>10906</v>
      </c>
      <c r="B807" s="1" t="s">
        <v>26</v>
      </c>
      <c r="C807" s="1" t="s">
        <v>27</v>
      </c>
      <c r="D807" t="s">
        <v>63</v>
      </c>
      <c r="E807" s="1">
        <v>150</v>
      </c>
      <c r="F807" s="1">
        <v>200</v>
      </c>
      <c r="G807" s="1">
        <v>902</v>
      </c>
      <c r="H807" s="1">
        <f>Int_breweries[[#This Row],[PLANT_COST]]*Int_breweries[[#This Row],[QUANTITY]]</f>
        <v>135300</v>
      </c>
      <c r="I807" s="1">
        <v>180400</v>
      </c>
      <c r="J807" s="1">
        <v>45100</v>
      </c>
      <c r="K807" s="1" t="s">
        <v>14</v>
      </c>
      <c r="L807" t="s">
        <v>62</v>
      </c>
      <c r="M807" s="1" t="s">
        <v>21</v>
      </c>
      <c r="N807" s="1">
        <v>2018</v>
      </c>
      <c r="O807" t="str" cm="1">
        <f t="array" ref="O807">_xlfn.IFS(OR($K807="Ghana", $K807="Nigeria"), "Anglophone", OR($K807="Togo", $K807="Benin", $K807="Senegal"), "Francophone")</f>
        <v>Anglophone</v>
      </c>
      <c r="P807" s="1" t="str">
        <f>LEFT(Int_breweries[[#This Row],[MONTHS]], 3)</f>
        <v>Feb</v>
      </c>
    </row>
    <row r="808" spans="1:16" ht="12.5" x14ac:dyDescent="0.25">
      <c r="A808" s="1">
        <v>10907</v>
      </c>
      <c r="B808" s="1" t="s">
        <v>45</v>
      </c>
      <c r="C808" s="1" t="s">
        <v>46</v>
      </c>
      <c r="D808" t="s">
        <v>64</v>
      </c>
      <c r="E808" s="1">
        <v>250</v>
      </c>
      <c r="F808" s="1">
        <v>500</v>
      </c>
      <c r="G808" s="1">
        <v>793</v>
      </c>
      <c r="H808" s="1">
        <f>Int_breweries[[#This Row],[PLANT_COST]]*Int_breweries[[#This Row],[QUANTITY]]</f>
        <v>198250</v>
      </c>
      <c r="I808" s="1">
        <v>396500</v>
      </c>
      <c r="J808" s="1">
        <v>198250</v>
      </c>
      <c r="K808" s="1" t="s">
        <v>19</v>
      </c>
      <c r="L808" t="s">
        <v>15</v>
      </c>
      <c r="M808" s="1" t="s">
        <v>25</v>
      </c>
      <c r="N808" s="1">
        <v>2017</v>
      </c>
      <c r="O808" t="str" cm="1">
        <f t="array" ref="O808">_xlfn.IFS(OR($K808="Ghana", $K808="Nigeria"), "Anglophone", OR($K808="Togo", $K808="Benin", $K808="Senegal"), "Francophone")</f>
        <v>Anglophone</v>
      </c>
      <c r="P808" s="1" t="str">
        <f>LEFT(Int_breweries[[#This Row],[MONTHS]], 3)</f>
        <v>Mar</v>
      </c>
    </row>
    <row r="809" spans="1:16" ht="12.5" x14ac:dyDescent="0.25">
      <c r="A809" s="1">
        <v>10908</v>
      </c>
      <c r="B809" s="1" t="s">
        <v>51</v>
      </c>
      <c r="C809" s="1" t="s">
        <v>52</v>
      </c>
      <c r="D809" t="s">
        <v>65</v>
      </c>
      <c r="E809" s="1">
        <v>180</v>
      </c>
      <c r="F809" s="1">
        <v>450</v>
      </c>
      <c r="G809" s="1">
        <v>735</v>
      </c>
      <c r="H809" s="1">
        <f>Int_breweries[[#This Row],[PLANT_COST]]*Int_breweries[[#This Row],[QUANTITY]]</f>
        <v>132300</v>
      </c>
      <c r="I809" s="1">
        <v>330750</v>
      </c>
      <c r="J809" s="1">
        <v>198450</v>
      </c>
      <c r="K809" s="1" t="s">
        <v>24</v>
      </c>
      <c r="L809" t="s">
        <v>58</v>
      </c>
      <c r="M809" s="1" t="s">
        <v>29</v>
      </c>
      <c r="N809" s="1">
        <v>2019</v>
      </c>
      <c r="O809" t="str" cm="1">
        <f t="array" ref="O809">_xlfn.IFS(OR($K809="Ghana", $K809="Nigeria"), "Anglophone", OR($K809="Togo", $K809="Benin", $K809="Senegal"), "Francophone")</f>
        <v>Francophone</v>
      </c>
      <c r="P809" s="1" t="str">
        <f>LEFT(Int_breweries[[#This Row],[MONTHS]], 3)</f>
        <v>Apr</v>
      </c>
    </row>
    <row r="810" spans="1:16" ht="12.5" x14ac:dyDescent="0.25">
      <c r="A810" s="1">
        <v>10909</v>
      </c>
      <c r="B810" s="1" t="s">
        <v>49</v>
      </c>
      <c r="C810" s="1" t="s">
        <v>50</v>
      </c>
      <c r="D810" t="s">
        <v>66</v>
      </c>
      <c r="E810" s="1">
        <v>170</v>
      </c>
      <c r="F810" s="1">
        <v>250</v>
      </c>
      <c r="G810" s="1">
        <v>890</v>
      </c>
      <c r="H810" s="1">
        <f>Int_breweries[[#This Row],[PLANT_COST]]*Int_breweries[[#This Row],[QUANTITY]]</f>
        <v>151300</v>
      </c>
      <c r="I810" s="1">
        <v>222500</v>
      </c>
      <c r="J810" s="1">
        <v>71200</v>
      </c>
      <c r="K810" s="1" t="s">
        <v>28</v>
      </c>
      <c r="L810" t="s">
        <v>59</v>
      </c>
      <c r="M810" s="1" t="s">
        <v>33</v>
      </c>
      <c r="N810" s="1">
        <v>2018</v>
      </c>
      <c r="O810" t="str" cm="1">
        <f t="array" ref="O810">_xlfn.IFS(OR($K810="Ghana", $K810="Nigeria"), "Anglophone", OR($K810="Togo", $K810="Benin", $K810="Senegal"), "Francophone")</f>
        <v>Francophone</v>
      </c>
      <c r="P810" s="1" t="str">
        <f>LEFT(Int_breweries[[#This Row],[MONTHS]], 3)</f>
        <v>May</v>
      </c>
    </row>
    <row r="811" spans="1:16" ht="12.5" x14ac:dyDescent="0.25">
      <c r="A811" s="1">
        <v>10910</v>
      </c>
      <c r="B811" s="1" t="s">
        <v>45</v>
      </c>
      <c r="C811" s="1" t="s">
        <v>46</v>
      </c>
      <c r="D811" t="s">
        <v>67</v>
      </c>
      <c r="E811" s="1">
        <v>150</v>
      </c>
      <c r="F811" s="1">
        <v>200</v>
      </c>
      <c r="G811" s="1">
        <v>969</v>
      </c>
      <c r="H811" s="1">
        <f>Int_breweries[[#This Row],[PLANT_COST]]*Int_breweries[[#This Row],[QUANTITY]]</f>
        <v>145350</v>
      </c>
      <c r="I811" s="1">
        <v>193800</v>
      </c>
      <c r="J811" s="1">
        <v>48450</v>
      </c>
      <c r="K811" s="1" t="s">
        <v>32</v>
      </c>
      <c r="L811" t="s">
        <v>60</v>
      </c>
      <c r="M811" s="1" t="s">
        <v>34</v>
      </c>
      <c r="N811" s="1">
        <v>2018</v>
      </c>
      <c r="O811" t="str" cm="1">
        <f t="array" ref="O811">_xlfn.IFS(OR($K811="Ghana", $K811="Nigeria"), "Anglophone", OR($K811="Togo", $K811="Benin", $K811="Senegal"), "Francophone")</f>
        <v>Francophone</v>
      </c>
      <c r="P811" s="1" t="str">
        <f>LEFT(Int_breweries[[#This Row],[MONTHS]], 3)</f>
        <v>Jun</v>
      </c>
    </row>
    <row r="812" spans="1:16" ht="12.5" x14ac:dyDescent="0.25">
      <c r="A812" s="1">
        <v>10911</v>
      </c>
      <c r="B812" s="1" t="s">
        <v>17</v>
      </c>
      <c r="C812" s="1" t="s">
        <v>18</v>
      </c>
      <c r="D812" t="s">
        <v>68</v>
      </c>
      <c r="E812" s="1">
        <v>80</v>
      </c>
      <c r="F812" s="1">
        <v>150</v>
      </c>
      <c r="G812" s="1">
        <v>978</v>
      </c>
      <c r="H812" s="1">
        <f>Int_breweries[[#This Row],[PLANT_COST]]*Int_breweries[[#This Row],[QUANTITY]]</f>
        <v>78240</v>
      </c>
      <c r="I812" s="1">
        <v>146700</v>
      </c>
      <c r="J812" s="1">
        <v>68460</v>
      </c>
      <c r="K812" s="1" t="s">
        <v>14</v>
      </c>
      <c r="L812" t="s">
        <v>61</v>
      </c>
      <c r="M812" s="1" t="s">
        <v>37</v>
      </c>
      <c r="N812" s="1">
        <v>2019</v>
      </c>
      <c r="O812" t="str" cm="1">
        <f t="array" ref="O812">_xlfn.IFS(OR($K812="Ghana", $K812="Nigeria"), "Anglophone", OR($K812="Togo", $K812="Benin", $K812="Senegal"), "Francophone")</f>
        <v>Anglophone</v>
      </c>
      <c r="P812" s="1" t="str">
        <f>LEFT(Int_breweries[[#This Row],[MONTHS]], 3)</f>
        <v>Jul</v>
      </c>
    </row>
    <row r="813" spans="1:16" ht="12.5" x14ac:dyDescent="0.25">
      <c r="A813" s="1">
        <v>10912</v>
      </c>
      <c r="B813" s="1" t="s">
        <v>49</v>
      </c>
      <c r="C813" s="1" t="s">
        <v>50</v>
      </c>
      <c r="D813" t="s">
        <v>69</v>
      </c>
      <c r="E813" s="1">
        <v>90</v>
      </c>
      <c r="F813" s="1">
        <v>150</v>
      </c>
      <c r="G813" s="1">
        <v>855</v>
      </c>
      <c r="H813" s="1">
        <f>Int_breweries[[#This Row],[PLANT_COST]]*Int_breweries[[#This Row],[QUANTITY]]</f>
        <v>76950</v>
      </c>
      <c r="I813" s="1">
        <v>128250</v>
      </c>
      <c r="J813" s="1">
        <v>51300</v>
      </c>
      <c r="K813" s="1" t="s">
        <v>19</v>
      </c>
      <c r="L813" t="s">
        <v>62</v>
      </c>
      <c r="M813" s="1" t="s">
        <v>38</v>
      </c>
      <c r="N813" s="1">
        <v>2017</v>
      </c>
      <c r="O813" t="str" cm="1">
        <f t="array" ref="O813">_xlfn.IFS(OR($K813="Ghana", $K813="Nigeria"), "Anglophone", OR($K813="Togo", $K813="Benin", $K813="Senegal"), "Francophone")</f>
        <v>Anglophone</v>
      </c>
      <c r="P813" s="1" t="str">
        <f>LEFT(Int_breweries[[#This Row],[MONTHS]], 3)</f>
        <v>Aug</v>
      </c>
    </row>
    <row r="814" spans="1:16" ht="12.5" x14ac:dyDescent="0.25">
      <c r="A814" s="1">
        <v>10913</v>
      </c>
      <c r="B814" s="1" t="s">
        <v>26</v>
      </c>
      <c r="C814" s="1" t="s">
        <v>27</v>
      </c>
      <c r="D814" t="s">
        <v>63</v>
      </c>
      <c r="E814" s="1">
        <v>150</v>
      </c>
      <c r="F814" s="1">
        <v>200</v>
      </c>
      <c r="G814" s="1">
        <v>835</v>
      </c>
      <c r="H814" s="1">
        <f>Int_breweries[[#This Row],[PLANT_COST]]*Int_breweries[[#This Row],[QUANTITY]]</f>
        <v>125250</v>
      </c>
      <c r="I814" s="1">
        <v>167000</v>
      </c>
      <c r="J814" s="1">
        <v>41750</v>
      </c>
      <c r="K814" s="1" t="s">
        <v>24</v>
      </c>
      <c r="L814" t="s">
        <v>15</v>
      </c>
      <c r="M814" s="1" t="s">
        <v>41</v>
      </c>
      <c r="N814" s="1">
        <v>2017</v>
      </c>
      <c r="O814" t="str" cm="1">
        <f t="array" ref="O814">_xlfn.IFS(OR($K814="Ghana", $K814="Nigeria"), "Anglophone", OR($K814="Togo", $K814="Benin", $K814="Senegal"), "Francophone")</f>
        <v>Francophone</v>
      </c>
      <c r="P814" s="1" t="str">
        <f>LEFT(Int_breweries[[#This Row],[MONTHS]], 3)</f>
        <v>Sep</v>
      </c>
    </row>
    <row r="815" spans="1:16" ht="12.5" x14ac:dyDescent="0.25">
      <c r="A815" s="1">
        <v>10914</v>
      </c>
      <c r="B815" s="1" t="s">
        <v>22</v>
      </c>
      <c r="C815" s="1" t="s">
        <v>23</v>
      </c>
      <c r="D815" t="s">
        <v>64</v>
      </c>
      <c r="E815" s="1">
        <v>250</v>
      </c>
      <c r="F815" s="1">
        <v>500</v>
      </c>
      <c r="G815" s="1">
        <v>835</v>
      </c>
      <c r="H815" s="1">
        <f>Int_breweries[[#This Row],[PLANT_COST]]*Int_breweries[[#This Row],[QUANTITY]]</f>
        <v>208750</v>
      </c>
      <c r="I815" s="1">
        <v>417500</v>
      </c>
      <c r="J815" s="1">
        <v>208750</v>
      </c>
      <c r="K815" s="1" t="s">
        <v>28</v>
      </c>
      <c r="L815" t="s">
        <v>58</v>
      </c>
      <c r="M815" s="1" t="s">
        <v>44</v>
      </c>
      <c r="N815" s="1">
        <v>2019</v>
      </c>
      <c r="O815" t="str" cm="1">
        <f t="array" ref="O815">_xlfn.IFS(OR($K815="Ghana", $K815="Nigeria"), "Anglophone", OR($K815="Togo", $K815="Benin", $K815="Senegal"), "Francophone")</f>
        <v>Francophone</v>
      </c>
      <c r="P815" s="1" t="str">
        <f>LEFT(Int_breweries[[#This Row],[MONTHS]], 3)</f>
        <v>Oct</v>
      </c>
    </row>
    <row r="816" spans="1:16" ht="12.5" x14ac:dyDescent="0.25">
      <c r="A816" s="1">
        <v>10915</v>
      </c>
      <c r="B816" s="1" t="s">
        <v>12</v>
      </c>
      <c r="C816" s="1" t="s">
        <v>13</v>
      </c>
      <c r="D816" t="s">
        <v>65</v>
      </c>
      <c r="E816" s="1">
        <v>180</v>
      </c>
      <c r="F816" s="1">
        <v>450</v>
      </c>
      <c r="G816" s="1">
        <v>992</v>
      </c>
      <c r="H816" s="1">
        <f>Int_breweries[[#This Row],[PLANT_COST]]*Int_breweries[[#This Row],[QUANTITY]]</f>
        <v>178560</v>
      </c>
      <c r="I816" s="1">
        <v>446400</v>
      </c>
      <c r="J816" s="1">
        <v>267840</v>
      </c>
      <c r="K816" s="1" t="s">
        <v>32</v>
      </c>
      <c r="L816" t="s">
        <v>59</v>
      </c>
      <c r="M816" s="1" t="s">
        <v>47</v>
      </c>
      <c r="N816" s="1">
        <v>2018</v>
      </c>
      <c r="O816" t="str" cm="1">
        <f t="array" ref="O816">_xlfn.IFS(OR($K816="Ghana", $K816="Nigeria"), "Anglophone", OR($K816="Togo", $K816="Benin", $K816="Senegal"), "Francophone")</f>
        <v>Francophone</v>
      </c>
      <c r="P816" s="1" t="str">
        <f>LEFT(Int_breweries[[#This Row],[MONTHS]], 3)</f>
        <v>Nov</v>
      </c>
    </row>
    <row r="817" spans="1:16" ht="12.5" x14ac:dyDescent="0.25">
      <c r="A817" s="1">
        <v>10916</v>
      </c>
      <c r="B817" s="1" t="s">
        <v>30</v>
      </c>
      <c r="C817" s="1" t="s">
        <v>31</v>
      </c>
      <c r="D817" t="s">
        <v>66</v>
      </c>
      <c r="E817" s="1">
        <v>170</v>
      </c>
      <c r="F817" s="1">
        <v>250</v>
      </c>
      <c r="G817" s="1">
        <v>702</v>
      </c>
      <c r="H817" s="1">
        <f>Int_breweries[[#This Row],[PLANT_COST]]*Int_breweries[[#This Row],[QUANTITY]]</f>
        <v>119340</v>
      </c>
      <c r="I817" s="1">
        <v>175500</v>
      </c>
      <c r="J817" s="1">
        <v>56160</v>
      </c>
      <c r="K817" s="1" t="s">
        <v>14</v>
      </c>
      <c r="L817" t="s">
        <v>60</v>
      </c>
      <c r="M817" s="1" t="s">
        <v>48</v>
      </c>
      <c r="N817" s="1">
        <v>2017</v>
      </c>
      <c r="O817" t="str" cm="1">
        <f t="array" ref="O817">_xlfn.IFS(OR($K817="Ghana", $K817="Nigeria"), "Anglophone", OR($K817="Togo", $K817="Benin", $K817="Senegal"), "Francophone")</f>
        <v>Anglophone</v>
      </c>
      <c r="P817" s="1" t="str">
        <f>LEFT(Int_breweries[[#This Row],[MONTHS]], 3)</f>
        <v>Dec</v>
      </c>
    </row>
    <row r="818" spans="1:16" ht="12.5" x14ac:dyDescent="0.25">
      <c r="A818" s="1">
        <v>10917</v>
      </c>
      <c r="B818" s="1" t="s">
        <v>42</v>
      </c>
      <c r="C818" s="1" t="s">
        <v>43</v>
      </c>
      <c r="D818" t="s">
        <v>67</v>
      </c>
      <c r="E818" s="1">
        <v>150</v>
      </c>
      <c r="F818" s="1">
        <v>200</v>
      </c>
      <c r="G818" s="1">
        <v>925</v>
      </c>
      <c r="H818" s="1">
        <f>Int_breweries[[#This Row],[PLANT_COST]]*Int_breweries[[#This Row],[QUANTITY]]</f>
        <v>138750</v>
      </c>
      <c r="I818" s="1">
        <v>185000</v>
      </c>
      <c r="J818" s="1">
        <v>46250</v>
      </c>
      <c r="K818" s="1" t="s">
        <v>19</v>
      </c>
      <c r="L818" t="s">
        <v>61</v>
      </c>
      <c r="M818" s="1" t="s">
        <v>16</v>
      </c>
      <c r="N818" s="1">
        <v>2019</v>
      </c>
      <c r="O818" t="str" cm="1">
        <f t="array" ref="O818">_xlfn.IFS(OR($K818="Ghana", $K818="Nigeria"), "Anglophone", OR($K818="Togo", $K818="Benin", $K818="Senegal"), "Francophone")</f>
        <v>Anglophone</v>
      </c>
      <c r="P818" s="1" t="str">
        <f>LEFT(Int_breweries[[#This Row],[MONTHS]], 3)</f>
        <v>Jan</v>
      </c>
    </row>
    <row r="819" spans="1:16" ht="12.5" x14ac:dyDescent="0.25">
      <c r="A819" s="1">
        <v>10918</v>
      </c>
      <c r="B819" s="1" t="s">
        <v>17</v>
      </c>
      <c r="C819" s="1" t="s">
        <v>18</v>
      </c>
      <c r="D819" t="s">
        <v>68</v>
      </c>
      <c r="E819" s="1">
        <v>80</v>
      </c>
      <c r="F819" s="1">
        <v>150</v>
      </c>
      <c r="G819" s="1">
        <v>997</v>
      </c>
      <c r="H819" s="1">
        <f>Int_breweries[[#This Row],[PLANT_COST]]*Int_breweries[[#This Row],[QUANTITY]]</f>
        <v>79760</v>
      </c>
      <c r="I819" s="1">
        <v>149550</v>
      </c>
      <c r="J819" s="1">
        <v>69790</v>
      </c>
      <c r="K819" s="1" t="s">
        <v>24</v>
      </c>
      <c r="L819" t="s">
        <v>62</v>
      </c>
      <c r="M819" s="1" t="s">
        <v>21</v>
      </c>
      <c r="N819" s="1">
        <v>2017</v>
      </c>
      <c r="O819" t="str" cm="1">
        <f t="array" ref="O819">_xlfn.IFS(OR($K819="Ghana", $K819="Nigeria"), "Anglophone", OR($K819="Togo", $K819="Benin", $K819="Senegal"), "Francophone")</f>
        <v>Francophone</v>
      </c>
      <c r="P819" s="1" t="str">
        <f>LEFT(Int_breweries[[#This Row],[MONTHS]], 3)</f>
        <v>Feb</v>
      </c>
    </row>
    <row r="820" spans="1:16" ht="12.5" x14ac:dyDescent="0.25">
      <c r="A820" s="1">
        <v>10919</v>
      </c>
      <c r="B820" s="1" t="s">
        <v>17</v>
      </c>
      <c r="C820" s="1" t="s">
        <v>18</v>
      </c>
      <c r="D820" t="s">
        <v>69</v>
      </c>
      <c r="E820" s="1">
        <v>90</v>
      </c>
      <c r="F820" s="1">
        <v>150</v>
      </c>
      <c r="G820" s="1">
        <v>796</v>
      </c>
      <c r="H820" s="1">
        <f>Int_breweries[[#This Row],[PLANT_COST]]*Int_breweries[[#This Row],[QUANTITY]]</f>
        <v>71640</v>
      </c>
      <c r="I820" s="1">
        <v>119400</v>
      </c>
      <c r="J820" s="1">
        <v>47760</v>
      </c>
      <c r="K820" s="1" t="s">
        <v>28</v>
      </c>
      <c r="L820" t="s">
        <v>15</v>
      </c>
      <c r="M820" s="1" t="s">
        <v>25</v>
      </c>
      <c r="N820" s="1">
        <v>2019</v>
      </c>
      <c r="O820" t="str" cm="1">
        <f t="array" ref="O820">_xlfn.IFS(OR($K820="Ghana", $K820="Nigeria"), "Anglophone", OR($K820="Togo", $K820="Benin", $K820="Senegal"), "Francophone")</f>
        <v>Francophone</v>
      </c>
      <c r="P820" s="1" t="str">
        <f>LEFT(Int_breweries[[#This Row],[MONTHS]], 3)</f>
        <v>Mar</v>
      </c>
    </row>
    <row r="821" spans="1:16" ht="12.5" x14ac:dyDescent="0.25">
      <c r="A821" s="1">
        <v>10920</v>
      </c>
      <c r="B821" s="1" t="s">
        <v>51</v>
      </c>
      <c r="C821" s="1" t="s">
        <v>52</v>
      </c>
      <c r="D821" t="s">
        <v>63</v>
      </c>
      <c r="E821" s="1">
        <v>150</v>
      </c>
      <c r="F821" s="1">
        <v>200</v>
      </c>
      <c r="G821" s="1">
        <v>741</v>
      </c>
      <c r="H821" s="1">
        <f>Int_breweries[[#This Row],[PLANT_COST]]*Int_breweries[[#This Row],[QUANTITY]]</f>
        <v>111150</v>
      </c>
      <c r="I821" s="1">
        <v>148200</v>
      </c>
      <c r="J821" s="1">
        <v>37050</v>
      </c>
      <c r="K821" s="1" t="s">
        <v>32</v>
      </c>
      <c r="L821" t="s">
        <v>58</v>
      </c>
      <c r="M821" s="1" t="s">
        <v>29</v>
      </c>
      <c r="N821" s="1">
        <v>2019</v>
      </c>
      <c r="O821" t="str" cm="1">
        <f t="array" ref="O821">_xlfn.IFS(OR($K821="Ghana", $K821="Nigeria"), "Anglophone", OR($K821="Togo", $K821="Benin", $K821="Senegal"), "Francophone")</f>
        <v>Francophone</v>
      </c>
      <c r="P821" s="1" t="str">
        <f>LEFT(Int_breweries[[#This Row],[MONTHS]], 3)</f>
        <v>Apr</v>
      </c>
    </row>
    <row r="822" spans="1:16" ht="12.5" x14ac:dyDescent="0.25">
      <c r="A822" s="1">
        <v>10921</v>
      </c>
      <c r="B822" s="1" t="s">
        <v>26</v>
      </c>
      <c r="C822" s="1" t="s">
        <v>27</v>
      </c>
      <c r="D822" t="s">
        <v>64</v>
      </c>
      <c r="E822" s="1">
        <v>250</v>
      </c>
      <c r="F822" s="1">
        <v>500</v>
      </c>
      <c r="G822" s="1">
        <v>827</v>
      </c>
      <c r="H822" s="1">
        <f>Int_breweries[[#This Row],[PLANT_COST]]*Int_breweries[[#This Row],[QUANTITY]]</f>
        <v>206750</v>
      </c>
      <c r="I822" s="1">
        <v>413500</v>
      </c>
      <c r="J822" s="1">
        <v>206750</v>
      </c>
      <c r="K822" s="1" t="s">
        <v>14</v>
      </c>
      <c r="L822" t="s">
        <v>59</v>
      </c>
      <c r="M822" s="1" t="s">
        <v>33</v>
      </c>
      <c r="N822" s="1">
        <v>2018</v>
      </c>
      <c r="O822" t="str" cm="1">
        <f t="array" ref="O822">_xlfn.IFS(OR($K822="Ghana", $K822="Nigeria"), "Anglophone", OR($K822="Togo", $K822="Benin", $K822="Senegal"), "Francophone")</f>
        <v>Anglophone</v>
      </c>
      <c r="P822" s="1" t="str">
        <f>LEFT(Int_breweries[[#This Row],[MONTHS]], 3)</f>
        <v>May</v>
      </c>
    </row>
    <row r="823" spans="1:16" ht="12.5" x14ac:dyDescent="0.25">
      <c r="A823" s="1">
        <v>10922</v>
      </c>
      <c r="B823" s="1" t="s">
        <v>39</v>
      </c>
      <c r="C823" s="1" t="s">
        <v>40</v>
      </c>
      <c r="D823" t="s">
        <v>65</v>
      </c>
      <c r="E823" s="1">
        <v>180</v>
      </c>
      <c r="F823" s="1">
        <v>450</v>
      </c>
      <c r="G823" s="1">
        <v>849</v>
      </c>
      <c r="H823" s="1">
        <f>Int_breweries[[#This Row],[PLANT_COST]]*Int_breweries[[#This Row],[QUANTITY]]</f>
        <v>152820</v>
      </c>
      <c r="I823" s="1">
        <v>382050</v>
      </c>
      <c r="J823" s="1">
        <v>229230</v>
      </c>
      <c r="K823" s="1" t="s">
        <v>19</v>
      </c>
      <c r="L823" t="s">
        <v>60</v>
      </c>
      <c r="M823" s="1" t="s">
        <v>34</v>
      </c>
      <c r="N823" s="1">
        <v>2018</v>
      </c>
      <c r="O823" t="str" cm="1">
        <f t="array" ref="O823">_xlfn.IFS(OR($K823="Ghana", $K823="Nigeria"), "Anglophone", OR($K823="Togo", $K823="Benin", $K823="Senegal"), "Francophone")</f>
        <v>Anglophone</v>
      </c>
      <c r="P823" s="1" t="str">
        <f>LEFT(Int_breweries[[#This Row],[MONTHS]], 3)</f>
        <v>Jun</v>
      </c>
    </row>
    <row r="824" spans="1:16" ht="12.5" x14ac:dyDescent="0.25">
      <c r="A824" s="1">
        <v>10923</v>
      </c>
      <c r="B824" s="1" t="s">
        <v>51</v>
      </c>
      <c r="C824" s="1" t="s">
        <v>52</v>
      </c>
      <c r="D824" t="s">
        <v>66</v>
      </c>
      <c r="E824" s="1">
        <v>170</v>
      </c>
      <c r="F824" s="1">
        <v>250</v>
      </c>
      <c r="G824" s="1">
        <v>742</v>
      </c>
      <c r="H824" s="1">
        <f>Int_breweries[[#This Row],[PLANT_COST]]*Int_breweries[[#This Row],[QUANTITY]]</f>
        <v>126140</v>
      </c>
      <c r="I824" s="1">
        <v>185500</v>
      </c>
      <c r="J824" s="1">
        <v>59360</v>
      </c>
      <c r="K824" s="1" t="s">
        <v>24</v>
      </c>
      <c r="L824" t="s">
        <v>61</v>
      </c>
      <c r="M824" s="1" t="s">
        <v>37</v>
      </c>
      <c r="N824" s="1">
        <v>2019</v>
      </c>
      <c r="O824" t="str" cm="1">
        <f t="array" ref="O824">_xlfn.IFS(OR($K824="Ghana", $K824="Nigeria"), "Anglophone", OR($K824="Togo", $K824="Benin", $K824="Senegal"), "Francophone")</f>
        <v>Francophone</v>
      </c>
      <c r="P824" s="1" t="str">
        <f>LEFT(Int_breweries[[#This Row],[MONTHS]], 3)</f>
        <v>Jul</v>
      </c>
    </row>
    <row r="825" spans="1:16" ht="12.5" x14ac:dyDescent="0.25">
      <c r="A825" s="1">
        <v>10924</v>
      </c>
      <c r="B825" s="1" t="s">
        <v>22</v>
      </c>
      <c r="C825" s="1" t="s">
        <v>23</v>
      </c>
      <c r="D825" t="s">
        <v>67</v>
      </c>
      <c r="E825" s="1">
        <v>150</v>
      </c>
      <c r="F825" s="1">
        <v>200</v>
      </c>
      <c r="G825" s="1">
        <v>965</v>
      </c>
      <c r="H825" s="1">
        <f>Int_breweries[[#This Row],[PLANT_COST]]*Int_breweries[[#This Row],[QUANTITY]]</f>
        <v>144750</v>
      </c>
      <c r="I825" s="1">
        <v>193000</v>
      </c>
      <c r="J825" s="1">
        <v>48250</v>
      </c>
      <c r="K825" s="1" t="s">
        <v>28</v>
      </c>
      <c r="L825" t="s">
        <v>62</v>
      </c>
      <c r="M825" s="1" t="s">
        <v>38</v>
      </c>
      <c r="N825" s="1">
        <v>2017</v>
      </c>
      <c r="O825" t="str" cm="1">
        <f t="array" ref="O825">_xlfn.IFS(OR($K825="Ghana", $K825="Nigeria"), "Anglophone", OR($K825="Togo", $K825="Benin", $K825="Senegal"), "Francophone")</f>
        <v>Francophone</v>
      </c>
      <c r="P825" s="1" t="str">
        <f>LEFT(Int_breweries[[#This Row],[MONTHS]], 3)</f>
        <v>Aug</v>
      </c>
    </row>
    <row r="826" spans="1:16" ht="12.5" x14ac:dyDescent="0.25">
      <c r="A826" s="1">
        <v>10925</v>
      </c>
      <c r="B826" s="1" t="s">
        <v>17</v>
      </c>
      <c r="C826" s="1" t="s">
        <v>18</v>
      </c>
      <c r="D826" t="s">
        <v>68</v>
      </c>
      <c r="E826" s="1">
        <v>80</v>
      </c>
      <c r="F826" s="1">
        <v>150</v>
      </c>
      <c r="G826" s="1">
        <v>983</v>
      </c>
      <c r="H826" s="1">
        <f>Int_breweries[[#This Row],[PLANT_COST]]*Int_breweries[[#This Row],[QUANTITY]]</f>
        <v>78640</v>
      </c>
      <c r="I826" s="1">
        <v>147450</v>
      </c>
      <c r="J826" s="1">
        <v>68810</v>
      </c>
      <c r="K826" s="1" t="s">
        <v>32</v>
      </c>
      <c r="L826" t="s">
        <v>15</v>
      </c>
      <c r="M826" s="1" t="s">
        <v>41</v>
      </c>
      <c r="N826" s="1">
        <v>2019</v>
      </c>
      <c r="O826" t="str" cm="1">
        <f t="array" ref="O826">_xlfn.IFS(OR($K826="Ghana", $K826="Nigeria"), "Anglophone", OR($K826="Togo", $K826="Benin", $K826="Senegal"), "Francophone")</f>
        <v>Francophone</v>
      </c>
      <c r="P826" s="1" t="str">
        <f>LEFT(Int_breweries[[#This Row],[MONTHS]], 3)</f>
        <v>Sep</v>
      </c>
    </row>
    <row r="827" spans="1:16" ht="12.5" x14ac:dyDescent="0.25">
      <c r="A827" s="1">
        <v>10926</v>
      </c>
      <c r="B827" s="1" t="s">
        <v>22</v>
      </c>
      <c r="C827" s="1" t="s">
        <v>23</v>
      </c>
      <c r="D827" t="s">
        <v>69</v>
      </c>
      <c r="E827" s="1">
        <v>90</v>
      </c>
      <c r="F827" s="1">
        <v>150</v>
      </c>
      <c r="G827" s="1">
        <v>820</v>
      </c>
      <c r="H827" s="1">
        <f>Int_breweries[[#This Row],[PLANT_COST]]*Int_breweries[[#This Row],[QUANTITY]]</f>
        <v>73800</v>
      </c>
      <c r="I827" s="1">
        <v>123000</v>
      </c>
      <c r="J827" s="1">
        <v>49200</v>
      </c>
      <c r="K827" s="1" t="s">
        <v>14</v>
      </c>
      <c r="L827" t="s">
        <v>58</v>
      </c>
      <c r="M827" s="1" t="s">
        <v>44</v>
      </c>
      <c r="N827" s="1">
        <v>2017</v>
      </c>
      <c r="O827" t="str" cm="1">
        <f t="array" ref="O827">_xlfn.IFS(OR($K827="Ghana", $K827="Nigeria"), "Anglophone", OR($K827="Togo", $K827="Benin", $K827="Senegal"), "Francophone")</f>
        <v>Anglophone</v>
      </c>
      <c r="P827" s="1" t="str">
        <f>LEFT(Int_breweries[[#This Row],[MONTHS]], 3)</f>
        <v>Oct</v>
      </c>
    </row>
    <row r="828" spans="1:16" ht="12.5" x14ac:dyDescent="0.25">
      <c r="A828" s="1">
        <v>10927</v>
      </c>
      <c r="B828" s="1" t="s">
        <v>35</v>
      </c>
      <c r="C828" s="1" t="s">
        <v>36</v>
      </c>
      <c r="D828" t="s">
        <v>63</v>
      </c>
      <c r="E828" s="1">
        <v>150</v>
      </c>
      <c r="F828" s="1">
        <v>200</v>
      </c>
      <c r="G828" s="1">
        <v>854</v>
      </c>
      <c r="H828" s="1">
        <f>Int_breweries[[#This Row],[PLANT_COST]]*Int_breweries[[#This Row],[QUANTITY]]</f>
        <v>128100</v>
      </c>
      <c r="I828" s="1">
        <v>170800</v>
      </c>
      <c r="J828" s="1">
        <v>42700</v>
      </c>
      <c r="K828" s="1" t="s">
        <v>19</v>
      </c>
      <c r="L828" t="s">
        <v>59</v>
      </c>
      <c r="M828" s="1" t="s">
        <v>47</v>
      </c>
      <c r="N828" s="1">
        <v>2018</v>
      </c>
      <c r="O828" t="str" cm="1">
        <f t="array" ref="O828">_xlfn.IFS(OR($K828="Ghana", $K828="Nigeria"), "Anglophone", OR($K828="Togo", $K828="Benin", $K828="Senegal"), "Francophone")</f>
        <v>Anglophone</v>
      </c>
      <c r="P828" s="1" t="str">
        <f>LEFT(Int_breweries[[#This Row],[MONTHS]], 3)</f>
        <v>Nov</v>
      </c>
    </row>
    <row r="829" spans="1:16" ht="12.5" x14ac:dyDescent="0.25">
      <c r="A829" s="1">
        <v>10928</v>
      </c>
      <c r="B829" s="1" t="s">
        <v>30</v>
      </c>
      <c r="C829" s="1" t="s">
        <v>31</v>
      </c>
      <c r="D829" t="s">
        <v>64</v>
      </c>
      <c r="E829" s="1">
        <v>250</v>
      </c>
      <c r="F829" s="1">
        <v>500</v>
      </c>
      <c r="G829" s="1">
        <v>768</v>
      </c>
      <c r="H829" s="1">
        <f>Int_breweries[[#This Row],[PLANT_COST]]*Int_breweries[[#This Row],[QUANTITY]]</f>
        <v>192000</v>
      </c>
      <c r="I829" s="1">
        <v>384000</v>
      </c>
      <c r="J829" s="1">
        <v>192000</v>
      </c>
      <c r="K829" s="1" t="s">
        <v>24</v>
      </c>
      <c r="L829" t="s">
        <v>60</v>
      </c>
      <c r="M829" s="1" t="s">
        <v>48</v>
      </c>
      <c r="N829" s="1">
        <v>2019</v>
      </c>
      <c r="O829" t="str" cm="1">
        <f t="array" ref="O829">_xlfn.IFS(OR($K829="Ghana", $K829="Nigeria"), "Anglophone", OR($K829="Togo", $K829="Benin", $K829="Senegal"), "Francophone")</f>
        <v>Francophone</v>
      </c>
      <c r="P829" s="1" t="str">
        <f>LEFT(Int_breweries[[#This Row],[MONTHS]], 3)</f>
        <v>Dec</v>
      </c>
    </row>
    <row r="830" spans="1:16" ht="12.5" x14ac:dyDescent="0.25">
      <c r="A830" s="1">
        <v>10929</v>
      </c>
      <c r="B830" s="1" t="s">
        <v>12</v>
      </c>
      <c r="C830" s="1" t="s">
        <v>13</v>
      </c>
      <c r="D830" t="s">
        <v>65</v>
      </c>
      <c r="E830" s="1">
        <v>180</v>
      </c>
      <c r="F830" s="1">
        <v>450</v>
      </c>
      <c r="G830" s="1">
        <v>786</v>
      </c>
      <c r="H830" s="1">
        <f>Int_breweries[[#This Row],[PLANT_COST]]*Int_breweries[[#This Row],[QUANTITY]]</f>
        <v>141480</v>
      </c>
      <c r="I830" s="1">
        <v>353700</v>
      </c>
      <c r="J830" s="1">
        <v>212220</v>
      </c>
      <c r="K830" s="1" t="s">
        <v>28</v>
      </c>
      <c r="L830" t="s">
        <v>61</v>
      </c>
      <c r="M830" s="1" t="s">
        <v>16</v>
      </c>
      <c r="N830" s="1">
        <v>2019</v>
      </c>
      <c r="O830" t="str" cm="1">
        <f t="array" ref="O830">_xlfn.IFS(OR($K830="Ghana", $K830="Nigeria"), "Anglophone", OR($K830="Togo", $K830="Benin", $K830="Senegal"), "Francophone")</f>
        <v>Francophone</v>
      </c>
      <c r="P830" s="1" t="str">
        <f>LEFT(Int_breweries[[#This Row],[MONTHS]], 3)</f>
        <v>Jan</v>
      </c>
    </row>
    <row r="831" spans="1:16" ht="12.5" x14ac:dyDescent="0.25">
      <c r="A831" s="1">
        <v>10930</v>
      </c>
      <c r="B831" s="1" t="s">
        <v>12</v>
      </c>
      <c r="C831" s="1" t="s">
        <v>13</v>
      </c>
      <c r="D831" t="s">
        <v>66</v>
      </c>
      <c r="E831" s="1">
        <v>170</v>
      </c>
      <c r="F831" s="1">
        <v>250</v>
      </c>
      <c r="G831" s="1">
        <v>856</v>
      </c>
      <c r="H831" s="1">
        <f>Int_breweries[[#This Row],[PLANT_COST]]*Int_breweries[[#This Row],[QUANTITY]]</f>
        <v>145520</v>
      </c>
      <c r="I831" s="1">
        <v>214000</v>
      </c>
      <c r="J831" s="1">
        <v>68480</v>
      </c>
      <c r="K831" s="1" t="s">
        <v>32</v>
      </c>
      <c r="L831" t="s">
        <v>62</v>
      </c>
      <c r="M831" s="1" t="s">
        <v>21</v>
      </c>
      <c r="N831" s="1">
        <v>2019</v>
      </c>
      <c r="O831" t="str" cm="1">
        <f t="array" ref="O831">_xlfn.IFS(OR($K831="Ghana", $K831="Nigeria"), "Anglophone", OR($K831="Togo", $K831="Benin", $K831="Senegal"), "Francophone")</f>
        <v>Francophone</v>
      </c>
      <c r="P831" s="1" t="str">
        <f>LEFT(Int_breweries[[#This Row],[MONTHS]], 3)</f>
        <v>Feb</v>
      </c>
    </row>
    <row r="832" spans="1:16" ht="12.5" x14ac:dyDescent="0.25">
      <c r="A832" s="1">
        <v>10931</v>
      </c>
      <c r="B832" s="1" t="s">
        <v>30</v>
      </c>
      <c r="C832" s="1" t="s">
        <v>31</v>
      </c>
      <c r="D832" t="s">
        <v>67</v>
      </c>
      <c r="E832" s="1">
        <v>150</v>
      </c>
      <c r="F832" s="1">
        <v>200</v>
      </c>
      <c r="G832" s="1">
        <v>919</v>
      </c>
      <c r="H832" s="1">
        <f>Int_breweries[[#This Row],[PLANT_COST]]*Int_breweries[[#This Row],[QUANTITY]]</f>
        <v>137850</v>
      </c>
      <c r="I832" s="1">
        <v>183800</v>
      </c>
      <c r="J832" s="1">
        <v>45950</v>
      </c>
      <c r="K832" s="1" t="s">
        <v>14</v>
      </c>
      <c r="L832" t="s">
        <v>15</v>
      </c>
      <c r="M832" s="1" t="s">
        <v>25</v>
      </c>
      <c r="N832" s="1">
        <v>2018</v>
      </c>
      <c r="O832" t="str" cm="1">
        <f t="array" ref="O832">_xlfn.IFS(OR($K832="Ghana", $K832="Nigeria"), "Anglophone", OR($K832="Togo", $K832="Benin", $K832="Senegal"), "Francophone")</f>
        <v>Anglophone</v>
      </c>
      <c r="P832" s="1" t="str">
        <f>LEFT(Int_breweries[[#This Row],[MONTHS]], 3)</f>
        <v>Mar</v>
      </c>
    </row>
    <row r="833" spans="1:16" ht="12.5" x14ac:dyDescent="0.25">
      <c r="A833" s="1">
        <v>10932</v>
      </c>
      <c r="B833" s="1" t="s">
        <v>26</v>
      </c>
      <c r="C833" s="1" t="s">
        <v>27</v>
      </c>
      <c r="D833" t="s">
        <v>68</v>
      </c>
      <c r="E833" s="1">
        <v>80</v>
      </c>
      <c r="F833" s="1">
        <v>150</v>
      </c>
      <c r="G833" s="1">
        <v>802</v>
      </c>
      <c r="H833" s="1">
        <f>Int_breweries[[#This Row],[PLANT_COST]]*Int_breweries[[#This Row],[QUANTITY]]</f>
        <v>64160</v>
      </c>
      <c r="I833" s="1">
        <v>120300</v>
      </c>
      <c r="J833" s="1">
        <v>56140</v>
      </c>
      <c r="K833" s="1" t="s">
        <v>19</v>
      </c>
      <c r="L833" t="s">
        <v>58</v>
      </c>
      <c r="M833" s="1" t="s">
        <v>29</v>
      </c>
      <c r="N833" s="1">
        <v>2019</v>
      </c>
      <c r="O833" t="str" cm="1">
        <f t="array" ref="O833">_xlfn.IFS(OR($K833="Ghana", $K833="Nigeria"), "Anglophone", OR($K833="Togo", $K833="Benin", $K833="Senegal"), "Francophone")</f>
        <v>Anglophone</v>
      </c>
      <c r="P833" s="1" t="str">
        <f>LEFT(Int_breweries[[#This Row],[MONTHS]], 3)</f>
        <v>Apr</v>
      </c>
    </row>
    <row r="834" spans="1:16" ht="12.5" x14ac:dyDescent="0.25">
      <c r="A834" s="1">
        <v>10933</v>
      </c>
      <c r="B834" s="1" t="s">
        <v>39</v>
      </c>
      <c r="C834" s="1" t="s">
        <v>40</v>
      </c>
      <c r="D834" t="s">
        <v>69</v>
      </c>
      <c r="E834" s="1">
        <v>90</v>
      </c>
      <c r="F834" s="1">
        <v>150</v>
      </c>
      <c r="G834" s="1">
        <v>864</v>
      </c>
      <c r="H834" s="1">
        <f>Int_breweries[[#This Row],[PLANT_COST]]*Int_breweries[[#This Row],[QUANTITY]]</f>
        <v>77760</v>
      </c>
      <c r="I834" s="1">
        <v>129600</v>
      </c>
      <c r="J834" s="1">
        <v>51840</v>
      </c>
      <c r="K834" s="1" t="s">
        <v>24</v>
      </c>
      <c r="L834" t="s">
        <v>59</v>
      </c>
      <c r="M834" s="1" t="s">
        <v>33</v>
      </c>
      <c r="N834" s="1">
        <v>2017</v>
      </c>
      <c r="O834" t="str" cm="1">
        <f t="array" ref="O834">_xlfn.IFS(OR($K834="Ghana", $K834="Nigeria"), "Anglophone", OR($K834="Togo", $K834="Benin", $K834="Senegal"), "Francophone")</f>
        <v>Francophone</v>
      </c>
      <c r="P834" s="1" t="str">
        <f>LEFT(Int_breweries[[#This Row],[MONTHS]], 3)</f>
        <v>May</v>
      </c>
    </row>
    <row r="835" spans="1:16" ht="12.5" x14ac:dyDescent="0.25">
      <c r="A835" s="1">
        <v>10934</v>
      </c>
      <c r="B835" s="1" t="s">
        <v>51</v>
      </c>
      <c r="C835" s="1" t="s">
        <v>52</v>
      </c>
      <c r="D835" t="s">
        <v>63</v>
      </c>
      <c r="E835" s="1">
        <v>150</v>
      </c>
      <c r="F835" s="1">
        <v>200</v>
      </c>
      <c r="G835" s="1">
        <v>993</v>
      </c>
      <c r="H835" s="1">
        <f>Int_breweries[[#This Row],[PLANT_COST]]*Int_breweries[[#This Row],[QUANTITY]]</f>
        <v>148950</v>
      </c>
      <c r="I835" s="1">
        <v>198600</v>
      </c>
      <c r="J835" s="1">
        <v>49650</v>
      </c>
      <c r="K835" s="1" t="s">
        <v>28</v>
      </c>
      <c r="L835" t="s">
        <v>60</v>
      </c>
      <c r="M835" s="1" t="s">
        <v>34</v>
      </c>
      <c r="N835" s="1">
        <v>2018</v>
      </c>
      <c r="O835" t="str" cm="1">
        <f t="array" ref="O835">_xlfn.IFS(OR($K835="Ghana", $K835="Nigeria"), "Anglophone", OR($K835="Togo", $K835="Benin", $K835="Senegal"), "Francophone")</f>
        <v>Francophone</v>
      </c>
      <c r="P835" s="1" t="str">
        <f>LEFT(Int_breweries[[#This Row],[MONTHS]], 3)</f>
        <v>Jun</v>
      </c>
    </row>
    <row r="836" spans="1:16" ht="12.5" x14ac:dyDescent="0.25">
      <c r="A836" s="1">
        <v>10935</v>
      </c>
      <c r="B836" s="1" t="s">
        <v>22</v>
      </c>
      <c r="C836" s="1" t="s">
        <v>23</v>
      </c>
      <c r="D836" t="s">
        <v>64</v>
      </c>
      <c r="E836" s="1">
        <v>250</v>
      </c>
      <c r="F836" s="1">
        <v>500</v>
      </c>
      <c r="G836" s="1">
        <v>796</v>
      </c>
      <c r="H836" s="1">
        <f>Int_breweries[[#This Row],[PLANT_COST]]*Int_breweries[[#This Row],[QUANTITY]]</f>
        <v>199000</v>
      </c>
      <c r="I836" s="1">
        <v>398000</v>
      </c>
      <c r="J836" s="1">
        <v>199000</v>
      </c>
      <c r="K836" s="1" t="s">
        <v>32</v>
      </c>
      <c r="L836" t="s">
        <v>61</v>
      </c>
      <c r="M836" s="1" t="s">
        <v>37</v>
      </c>
      <c r="N836" s="1">
        <v>2017</v>
      </c>
      <c r="O836" t="str" cm="1">
        <f t="array" ref="O836">_xlfn.IFS(OR($K836="Ghana", $K836="Nigeria"), "Anglophone", OR($K836="Togo", $K836="Benin", $K836="Senegal"), "Francophone")</f>
        <v>Francophone</v>
      </c>
      <c r="P836" s="1" t="str">
        <f>LEFT(Int_breweries[[#This Row],[MONTHS]], 3)</f>
        <v>Jul</v>
      </c>
    </row>
    <row r="837" spans="1:16" ht="12.5" x14ac:dyDescent="0.25">
      <c r="A837" s="1">
        <v>10936</v>
      </c>
      <c r="B837" s="1" t="s">
        <v>17</v>
      </c>
      <c r="C837" s="1" t="s">
        <v>18</v>
      </c>
      <c r="D837" t="s">
        <v>65</v>
      </c>
      <c r="E837" s="1">
        <v>180</v>
      </c>
      <c r="F837" s="1">
        <v>450</v>
      </c>
      <c r="G837" s="1">
        <v>923</v>
      </c>
      <c r="H837" s="1">
        <f>Int_breweries[[#This Row],[PLANT_COST]]*Int_breweries[[#This Row],[QUANTITY]]</f>
        <v>166140</v>
      </c>
      <c r="I837" s="1">
        <v>415350</v>
      </c>
      <c r="J837" s="1">
        <v>249210</v>
      </c>
      <c r="K837" s="1" t="s">
        <v>14</v>
      </c>
      <c r="L837" t="s">
        <v>62</v>
      </c>
      <c r="M837" s="1" t="s">
        <v>38</v>
      </c>
      <c r="N837" s="1">
        <v>2019</v>
      </c>
      <c r="O837" t="str" cm="1">
        <f t="array" ref="O837">_xlfn.IFS(OR($K837="Ghana", $K837="Nigeria"), "Anglophone", OR($K837="Togo", $K837="Benin", $K837="Senegal"), "Francophone")</f>
        <v>Anglophone</v>
      </c>
      <c r="P837" s="1" t="str">
        <f>LEFT(Int_breweries[[#This Row],[MONTHS]], 3)</f>
        <v>Aug</v>
      </c>
    </row>
    <row r="838" spans="1:16" ht="12.5" x14ac:dyDescent="0.25">
      <c r="A838" s="1">
        <v>10937</v>
      </c>
      <c r="B838" s="1" t="s">
        <v>22</v>
      </c>
      <c r="C838" s="1" t="s">
        <v>23</v>
      </c>
      <c r="D838" t="s">
        <v>66</v>
      </c>
      <c r="E838" s="1">
        <v>170</v>
      </c>
      <c r="F838" s="1">
        <v>250</v>
      </c>
      <c r="G838" s="1">
        <v>990</v>
      </c>
      <c r="H838" s="1">
        <f>Int_breweries[[#This Row],[PLANT_COST]]*Int_breweries[[#This Row],[QUANTITY]]</f>
        <v>168300</v>
      </c>
      <c r="I838" s="1">
        <v>247500</v>
      </c>
      <c r="J838" s="1">
        <v>79200</v>
      </c>
      <c r="K838" s="1" t="s">
        <v>19</v>
      </c>
      <c r="L838" t="s">
        <v>15</v>
      </c>
      <c r="M838" s="1" t="s">
        <v>41</v>
      </c>
      <c r="N838" s="1">
        <v>2018</v>
      </c>
      <c r="O838" t="str" cm="1">
        <f t="array" ref="O838">_xlfn.IFS(OR($K838="Ghana", $K838="Nigeria"), "Anglophone", OR($K838="Togo", $K838="Benin", $K838="Senegal"), "Francophone")</f>
        <v>Anglophone</v>
      </c>
      <c r="P838" s="1" t="str">
        <f>LEFT(Int_breweries[[#This Row],[MONTHS]], 3)</f>
        <v>Sep</v>
      </c>
    </row>
    <row r="839" spans="1:16" ht="12.5" x14ac:dyDescent="0.25">
      <c r="A839" s="1">
        <v>10938</v>
      </c>
      <c r="B839" s="1" t="s">
        <v>35</v>
      </c>
      <c r="C839" s="1" t="s">
        <v>36</v>
      </c>
      <c r="D839" t="s">
        <v>67</v>
      </c>
      <c r="E839" s="1">
        <v>150</v>
      </c>
      <c r="F839" s="1">
        <v>200</v>
      </c>
      <c r="G839" s="1">
        <v>957</v>
      </c>
      <c r="H839" s="1">
        <f>Int_breweries[[#This Row],[PLANT_COST]]*Int_breweries[[#This Row],[QUANTITY]]</f>
        <v>143550</v>
      </c>
      <c r="I839" s="1">
        <v>191400</v>
      </c>
      <c r="J839" s="1">
        <v>47850</v>
      </c>
      <c r="K839" s="1" t="s">
        <v>24</v>
      </c>
      <c r="L839" t="s">
        <v>58</v>
      </c>
      <c r="M839" s="1" t="s">
        <v>44</v>
      </c>
      <c r="N839" s="1">
        <v>2017</v>
      </c>
      <c r="O839" t="str" cm="1">
        <f t="array" ref="O839">_xlfn.IFS(OR($K839="Ghana", $K839="Nigeria"), "Anglophone", OR($K839="Togo", $K839="Benin", $K839="Senegal"), "Francophone")</f>
        <v>Francophone</v>
      </c>
      <c r="P839" s="1" t="str">
        <f>LEFT(Int_breweries[[#This Row],[MONTHS]], 3)</f>
        <v>Oct</v>
      </c>
    </row>
    <row r="840" spans="1:16" ht="12.5" x14ac:dyDescent="0.25">
      <c r="A840" s="1">
        <v>10939</v>
      </c>
      <c r="B840" s="1" t="s">
        <v>30</v>
      </c>
      <c r="C840" s="1" t="s">
        <v>31</v>
      </c>
      <c r="D840" t="s">
        <v>68</v>
      </c>
      <c r="E840" s="1">
        <v>80</v>
      </c>
      <c r="F840" s="1">
        <v>150</v>
      </c>
      <c r="G840" s="1">
        <v>836</v>
      </c>
      <c r="H840" s="1">
        <f>Int_breweries[[#This Row],[PLANT_COST]]*Int_breweries[[#This Row],[QUANTITY]]</f>
        <v>66880</v>
      </c>
      <c r="I840" s="1">
        <v>125400</v>
      </c>
      <c r="J840" s="1">
        <v>58520</v>
      </c>
      <c r="K840" s="1" t="s">
        <v>28</v>
      </c>
      <c r="L840" t="s">
        <v>59</v>
      </c>
      <c r="M840" s="1" t="s">
        <v>47</v>
      </c>
      <c r="N840" s="1">
        <v>2018</v>
      </c>
      <c r="O840" t="str" cm="1">
        <f t="array" ref="O840">_xlfn.IFS(OR($K840="Ghana", $K840="Nigeria"), "Anglophone", OR($K840="Togo", $K840="Benin", $K840="Senegal"), "Francophone")</f>
        <v>Francophone</v>
      </c>
      <c r="P840" s="1" t="str">
        <f>LEFT(Int_breweries[[#This Row],[MONTHS]], 3)</f>
        <v>Nov</v>
      </c>
    </row>
    <row r="841" spans="1:16" ht="12.5" x14ac:dyDescent="0.25">
      <c r="A841" s="1">
        <v>10940</v>
      </c>
      <c r="B841" s="1" t="s">
        <v>12</v>
      </c>
      <c r="C841" s="1" t="s">
        <v>13</v>
      </c>
      <c r="D841" t="s">
        <v>69</v>
      </c>
      <c r="E841" s="1">
        <v>90</v>
      </c>
      <c r="F841" s="1">
        <v>150</v>
      </c>
      <c r="G841" s="1">
        <v>936</v>
      </c>
      <c r="H841" s="1">
        <f>Int_breweries[[#This Row],[PLANT_COST]]*Int_breweries[[#This Row],[QUANTITY]]</f>
        <v>84240</v>
      </c>
      <c r="I841" s="1">
        <v>140400</v>
      </c>
      <c r="J841" s="1">
        <v>56160</v>
      </c>
      <c r="K841" s="1" t="s">
        <v>32</v>
      </c>
      <c r="L841" t="s">
        <v>60</v>
      </c>
      <c r="M841" s="1" t="s">
        <v>48</v>
      </c>
      <c r="N841" s="1">
        <v>2019</v>
      </c>
      <c r="O841" t="str" cm="1">
        <f t="array" ref="O841">_xlfn.IFS(OR($K841="Ghana", $K841="Nigeria"), "Anglophone", OR($K841="Togo", $K841="Benin", $K841="Senegal"), "Francophone")</f>
        <v>Francophone</v>
      </c>
      <c r="P841" s="1" t="str">
        <f>LEFT(Int_breweries[[#This Row],[MONTHS]], 3)</f>
        <v>Dec</v>
      </c>
    </row>
    <row r="842" spans="1:16" ht="12.5" x14ac:dyDescent="0.25">
      <c r="A842" s="1">
        <v>10941</v>
      </c>
      <c r="B842" s="1" t="s">
        <v>12</v>
      </c>
      <c r="C842" s="1" t="s">
        <v>13</v>
      </c>
      <c r="D842" t="s">
        <v>63</v>
      </c>
      <c r="E842" s="1">
        <v>150</v>
      </c>
      <c r="F842" s="1">
        <v>200</v>
      </c>
      <c r="G842" s="1">
        <v>924</v>
      </c>
      <c r="H842" s="1">
        <f>Int_breweries[[#This Row],[PLANT_COST]]*Int_breweries[[#This Row],[QUANTITY]]</f>
        <v>138600</v>
      </c>
      <c r="I842" s="1">
        <v>184800</v>
      </c>
      <c r="J842" s="1">
        <v>46200</v>
      </c>
      <c r="K842" s="1" t="s">
        <v>14</v>
      </c>
      <c r="L842" t="s">
        <v>61</v>
      </c>
      <c r="M842" s="1" t="s">
        <v>16</v>
      </c>
      <c r="N842" s="1">
        <v>2019</v>
      </c>
      <c r="O842" t="str" cm="1">
        <f t="array" ref="O842">_xlfn.IFS(OR($K842="Ghana", $K842="Nigeria"), "Anglophone", OR($K842="Togo", $K842="Benin", $K842="Senegal"), "Francophone")</f>
        <v>Anglophone</v>
      </c>
      <c r="P842" s="1" t="str">
        <f>LEFT(Int_breweries[[#This Row],[MONTHS]], 3)</f>
        <v>Jan</v>
      </c>
    </row>
    <row r="843" spans="1:16" ht="12.5" x14ac:dyDescent="0.25">
      <c r="A843" s="1">
        <v>10942</v>
      </c>
      <c r="B843" s="1" t="s">
        <v>30</v>
      </c>
      <c r="C843" s="1" t="s">
        <v>31</v>
      </c>
      <c r="D843" t="s">
        <v>64</v>
      </c>
      <c r="E843" s="1">
        <v>250</v>
      </c>
      <c r="F843" s="1">
        <v>500</v>
      </c>
      <c r="G843" s="1">
        <v>998</v>
      </c>
      <c r="H843" s="1">
        <f>Int_breweries[[#This Row],[PLANT_COST]]*Int_breweries[[#This Row],[QUANTITY]]</f>
        <v>249500</v>
      </c>
      <c r="I843" s="1">
        <v>499000</v>
      </c>
      <c r="J843" s="1">
        <v>249500</v>
      </c>
      <c r="K843" s="1" t="s">
        <v>19</v>
      </c>
      <c r="L843" t="s">
        <v>62</v>
      </c>
      <c r="M843" s="1" t="s">
        <v>21</v>
      </c>
      <c r="N843" s="1">
        <v>2017</v>
      </c>
      <c r="O843" t="str" cm="1">
        <f t="array" ref="O843">_xlfn.IFS(OR($K843="Ghana", $K843="Nigeria"), "Anglophone", OR($K843="Togo", $K843="Benin", $K843="Senegal"), "Francophone")</f>
        <v>Anglophone</v>
      </c>
      <c r="P843" s="1" t="str">
        <f>LEFT(Int_breweries[[#This Row],[MONTHS]], 3)</f>
        <v>Feb</v>
      </c>
    </row>
    <row r="844" spans="1:16" ht="12.5" x14ac:dyDescent="0.25">
      <c r="A844" s="1">
        <v>10943</v>
      </c>
      <c r="B844" s="1" t="s">
        <v>12</v>
      </c>
      <c r="C844" s="1" t="s">
        <v>13</v>
      </c>
      <c r="D844" t="s">
        <v>65</v>
      </c>
      <c r="E844" s="1">
        <v>180</v>
      </c>
      <c r="F844" s="1">
        <v>450</v>
      </c>
      <c r="G844" s="1">
        <v>862</v>
      </c>
      <c r="H844" s="1">
        <f>Int_breweries[[#This Row],[PLANT_COST]]*Int_breweries[[#This Row],[QUANTITY]]</f>
        <v>155160</v>
      </c>
      <c r="I844" s="1">
        <v>387900</v>
      </c>
      <c r="J844" s="1">
        <v>232740</v>
      </c>
      <c r="K844" s="1" t="s">
        <v>24</v>
      </c>
      <c r="L844" t="s">
        <v>15</v>
      </c>
      <c r="M844" s="1" t="s">
        <v>25</v>
      </c>
      <c r="N844" s="1">
        <v>2018</v>
      </c>
      <c r="O844" t="str" cm="1">
        <f t="array" ref="O844">_xlfn.IFS(OR($K844="Ghana", $K844="Nigeria"), "Anglophone", OR($K844="Togo", $K844="Benin", $K844="Senegal"), "Francophone")</f>
        <v>Francophone</v>
      </c>
      <c r="P844" s="1" t="str">
        <f>LEFT(Int_breweries[[#This Row],[MONTHS]], 3)</f>
        <v>Mar</v>
      </c>
    </row>
    <row r="845" spans="1:16" ht="12.5" x14ac:dyDescent="0.25">
      <c r="A845" s="1">
        <v>10944</v>
      </c>
      <c r="B845" s="1" t="s">
        <v>17</v>
      </c>
      <c r="C845" s="1" t="s">
        <v>18</v>
      </c>
      <c r="D845" t="s">
        <v>66</v>
      </c>
      <c r="E845" s="1">
        <v>170</v>
      </c>
      <c r="F845" s="1">
        <v>250</v>
      </c>
      <c r="G845" s="1">
        <v>963</v>
      </c>
      <c r="H845" s="1">
        <f>Int_breweries[[#This Row],[PLANT_COST]]*Int_breweries[[#This Row],[QUANTITY]]</f>
        <v>163710</v>
      </c>
      <c r="I845" s="1">
        <v>240750</v>
      </c>
      <c r="J845" s="1">
        <v>77040</v>
      </c>
      <c r="K845" s="1" t="s">
        <v>28</v>
      </c>
      <c r="L845" t="s">
        <v>58</v>
      </c>
      <c r="M845" s="1" t="s">
        <v>29</v>
      </c>
      <c r="N845" s="1">
        <v>2018</v>
      </c>
      <c r="O845" t="str" cm="1">
        <f t="array" ref="O845">_xlfn.IFS(OR($K845="Ghana", $K845="Nigeria"), "Anglophone", OR($K845="Togo", $K845="Benin", $K845="Senegal"), "Francophone")</f>
        <v>Francophone</v>
      </c>
      <c r="P845" s="1" t="str">
        <f>LEFT(Int_breweries[[#This Row],[MONTHS]], 3)</f>
        <v>Apr</v>
      </c>
    </row>
    <row r="846" spans="1:16" ht="12.5" x14ac:dyDescent="0.25">
      <c r="A846" s="1">
        <v>10945</v>
      </c>
      <c r="B846" s="1" t="s">
        <v>22</v>
      </c>
      <c r="C846" s="1" t="s">
        <v>23</v>
      </c>
      <c r="D846" t="s">
        <v>67</v>
      </c>
      <c r="E846" s="1">
        <v>150</v>
      </c>
      <c r="F846" s="1">
        <v>200</v>
      </c>
      <c r="G846" s="1">
        <v>849</v>
      </c>
      <c r="H846" s="1">
        <f>Int_breweries[[#This Row],[PLANT_COST]]*Int_breweries[[#This Row],[QUANTITY]]</f>
        <v>127350</v>
      </c>
      <c r="I846" s="1">
        <v>169800</v>
      </c>
      <c r="J846" s="1">
        <v>42450</v>
      </c>
      <c r="K846" s="1" t="s">
        <v>32</v>
      </c>
      <c r="L846" t="s">
        <v>59</v>
      </c>
      <c r="M846" s="1" t="s">
        <v>33</v>
      </c>
      <c r="N846" s="1">
        <v>2017</v>
      </c>
      <c r="O846" t="str" cm="1">
        <f t="array" ref="O846">_xlfn.IFS(OR($K846="Ghana", $K846="Nigeria"), "Anglophone", OR($K846="Togo", $K846="Benin", $K846="Senegal"), "Francophone")</f>
        <v>Francophone</v>
      </c>
      <c r="P846" s="1" t="str">
        <f>LEFT(Int_breweries[[#This Row],[MONTHS]], 3)</f>
        <v>May</v>
      </c>
    </row>
    <row r="847" spans="1:16" ht="12.5" x14ac:dyDescent="0.25">
      <c r="A847" s="1">
        <v>10946</v>
      </c>
      <c r="B847" s="1" t="s">
        <v>26</v>
      </c>
      <c r="C847" s="1" t="s">
        <v>27</v>
      </c>
      <c r="D847" t="s">
        <v>68</v>
      </c>
      <c r="E847" s="1">
        <v>80</v>
      </c>
      <c r="F847" s="1">
        <v>150</v>
      </c>
      <c r="G847" s="1">
        <v>938</v>
      </c>
      <c r="H847" s="1">
        <f>Int_breweries[[#This Row],[PLANT_COST]]*Int_breweries[[#This Row],[QUANTITY]]</f>
        <v>75040</v>
      </c>
      <c r="I847" s="1">
        <v>140700</v>
      </c>
      <c r="J847" s="1">
        <v>65660</v>
      </c>
      <c r="K847" s="1" t="s">
        <v>14</v>
      </c>
      <c r="L847" t="s">
        <v>60</v>
      </c>
      <c r="M847" s="1" t="s">
        <v>34</v>
      </c>
      <c r="N847" s="1">
        <v>2017</v>
      </c>
      <c r="O847" t="str" cm="1">
        <f t="array" ref="O847">_xlfn.IFS(OR($K847="Ghana", $K847="Nigeria"), "Anglophone", OR($K847="Togo", $K847="Benin", $K847="Senegal"), "Francophone")</f>
        <v>Anglophone</v>
      </c>
      <c r="P847" s="1" t="str">
        <f>LEFT(Int_breweries[[#This Row],[MONTHS]], 3)</f>
        <v>Jun</v>
      </c>
    </row>
    <row r="848" spans="1:16" ht="12.5" x14ac:dyDescent="0.25">
      <c r="A848" s="1">
        <v>10947</v>
      </c>
      <c r="B848" s="1" t="s">
        <v>30</v>
      </c>
      <c r="C848" s="1" t="s">
        <v>31</v>
      </c>
      <c r="D848" t="s">
        <v>69</v>
      </c>
      <c r="E848" s="1">
        <v>90</v>
      </c>
      <c r="F848" s="1">
        <v>150</v>
      </c>
      <c r="G848" s="1">
        <v>918</v>
      </c>
      <c r="H848" s="1">
        <f>Int_breweries[[#This Row],[PLANT_COST]]*Int_breweries[[#This Row],[QUANTITY]]</f>
        <v>82620</v>
      </c>
      <c r="I848" s="1">
        <v>137700</v>
      </c>
      <c r="J848" s="1">
        <v>55080</v>
      </c>
      <c r="K848" s="1" t="s">
        <v>19</v>
      </c>
      <c r="L848" t="s">
        <v>61</v>
      </c>
      <c r="M848" s="1" t="s">
        <v>37</v>
      </c>
      <c r="N848" s="1">
        <v>2018</v>
      </c>
      <c r="O848" t="str" cm="1">
        <f t="array" ref="O848">_xlfn.IFS(OR($K848="Ghana", $K848="Nigeria"), "Anglophone", OR($K848="Togo", $K848="Benin", $K848="Senegal"), "Francophone")</f>
        <v>Anglophone</v>
      </c>
      <c r="P848" s="1" t="str">
        <f>LEFT(Int_breweries[[#This Row],[MONTHS]], 3)</f>
        <v>Jul</v>
      </c>
    </row>
    <row r="849" spans="1:16" ht="12.5" x14ac:dyDescent="0.25">
      <c r="A849" s="1">
        <v>10948</v>
      </c>
      <c r="B849" s="1" t="s">
        <v>12</v>
      </c>
      <c r="C849" s="1" t="s">
        <v>13</v>
      </c>
      <c r="D849" t="s">
        <v>63</v>
      </c>
      <c r="E849" s="1">
        <v>150</v>
      </c>
      <c r="F849" s="1">
        <v>200</v>
      </c>
      <c r="G849" s="1">
        <v>728</v>
      </c>
      <c r="H849" s="1">
        <f>Int_breweries[[#This Row],[PLANT_COST]]*Int_breweries[[#This Row],[QUANTITY]]</f>
        <v>109200</v>
      </c>
      <c r="I849" s="1">
        <v>145600</v>
      </c>
      <c r="J849" s="1">
        <v>36400</v>
      </c>
      <c r="K849" s="1" t="s">
        <v>24</v>
      </c>
      <c r="L849" t="s">
        <v>62</v>
      </c>
      <c r="M849" s="1" t="s">
        <v>38</v>
      </c>
      <c r="N849" s="1">
        <v>2017</v>
      </c>
      <c r="O849" t="str" cm="1">
        <f t="array" ref="O849">_xlfn.IFS(OR($K849="Ghana", $K849="Nigeria"), "Anglophone", OR($K849="Togo", $K849="Benin", $K849="Senegal"), "Francophone")</f>
        <v>Francophone</v>
      </c>
      <c r="P849" s="1" t="str">
        <f>LEFT(Int_breweries[[#This Row],[MONTHS]], 3)</f>
        <v>Aug</v>
      </c>
    </row>
    <row r="850" spans="1:16" ht="12.5" x14ac:dyDescent="0.25">
      <c r="A850" s="1">
        <v>10949</v>
      </c>
      <c r="B850" s="1" t="s">
        <v>35</v>
      </c>
      <c r="C850" s="1" t="s">
        <v>36</v>
      </c>
      <c r="D850" t="s">
        <v>64</v>
      </c>
      <c r="E850" s="1">
        <v>250</v>
      </c>
      <c r="F850" s="1">
        <v>500</v>
      </c>
      <c r="G850" s="1">
        <v>999</v>
      </c>
      <c r="H850" s="1">
        <f>Int_breweries[[#This Row],[PLANT_COST]]*Int_breweries[[#This Row],[QUANTITY]]</f>
        <v>249750</v>
      </c>
      <c r="I850" s="1">
        <v>499500</v>
      </c>
      <c r="J850" s="1">
        <v>249750</v>
      </c>
      <c r="K850" s="1" t="s">
        <v>28</v>
      </c>
      <c r="L850" t="s">
        <v>15</v>
      </c>
      <c r="M850" s="1" t="s">
        <v>41</v>
      </c>
      <c r="N850" s="1">
        <v>2019</v>
      </c>
      <c r="O850" t="str" cm="1">
        <f t="array" ref="O850">_xlfn.IFS(OR($K850="Ghana", $K850="Nigeria"), "Anglophone", OR($K850="Togo", $K850="Benin", $K850="Senegal"), "Francophone")</f>
        <v>Francophone</v>
      </c>
      <c r="P850" s="1" t="str">
        <f>LEFT(Int_breweries[[#This Row],[MONTHS]], 3)</f>
        <v>Sep</v>
      </c>
    </row>
    <row r="851" spans="1:16" ht="12.5" x14ac:dyDescent="0.25">
      <c r="A851" s="1">
        <v>10950</v>
      </c>
      <c r="B851" s="1" t="s">
        <v>26</v>
      </c>
      <c r="C851" s="1" t="s">
        <v>27</v>
      </c>
      <c r="D851" t="s">
        <v>65</v>
      </c>
      <c r="E851" s="1">
        <v>180</v>
      </c>
      <c r="F851" s="1">
        <v>450</v>
      </c>
      <c r="G851" s="1">
        <v>888</v>
      </c>
      <c r="H851" s="1">
        <f>Int_breweries[[#This Row],[PLANT_COST]]*Int_breweries[[#This Row],[QUANTITY]]</f>
        <v>159840</v>
      </c>
      <c r="I851" s="1">
        <v>399600</v>
      </c>
      <c r="J851" s="1">
        <v>239760</v>
      </c>
      <c r="K851" s="1" t="s">
        <v>32</v>
      </c>
      <c r="L851" t="s">
        <v>58</v>
      </c>
      <c r="M851" s="1" t="s">
        <v>44</v>
      </c>
      <c r="N851" s="1">
        <v>2018</v>
      </c>
      <c r="O851" t="str" cm="1">
        <f t="array" ref="O851">_xlfn.IFS(OR($K851="Ghana", $K851="Nigeria"), "Anglophone", OR($K851="Togo", $K851="Benin", $K851="Senegal"), "Francophone")</f>
        <v>Francophone</v>
      </c>
      <c r="P851" s="1" t="str">
        <f>LEFT(Int_breweries[[#This Row],[MONTHS]], 3)</f>
        <v>Oct</v>
      </c>
    </row>
    <row r="852" spans="1:16" ht="12.5" x14ac:dyDescent="0.25">
      <c r="A852" s="1">
        <v>10951</v>
      </c>
      <c r="B852" s="1" t="s">
        <v>39</v>
      </c>
      <c r="C852" s="1" t="s">
        <v>40</v>
      </c>
      <c r="D852" t="s">
        <v>66</v>
      </c>
      <c r="E852" s="1">
        <v>170</v>
      </c>
      <c r="F852" s="1">
        <v>250</v>
      </c>
      <c r="G852" s="1">
        <v>746</v>
      </c>
      <c r="H852" s="1">
        <f>Int_breweries[[#This Row],[PLANT_COST]]*Int_breweries[[#This Row],[QUANTITY]]</f>
        <v>126820</v>
      </c>
      <c r="I852" s="1">
        <v>186500</v>
      </c>
      <c r="J852" s="1">
        <v>59680</v>
      </c>
      <c r="K852" s="1" t="s">
        <v>14</v>
      </c>
      <c r="L852" t="s">
        <v>59</v>
      </c>
      <c r="M852" s="1" t="s">
        <v>47</v>
      </c>
      <c r="N852" s="1">
        <v>2018</v>
      </c>
      <c r="O852" t="str" cm="1">
        <f t="array" ref="O852">_xlfn.IFS(OR($K852="Ghana", $K852="Nigeria"), "Anglophone", OR($K852="Togo", $K852="Benin", $K852="Senegal"), "Francophone")</f>
        <v>Anglophone</v>
      </c>
      <c r="P852" s="1" t="str">
        <f>LEFT(Int_breweries[[#This Row],[MONTHS]], 3)</f>
        <v>Nov</v>
      </c>
    </row>
    <row r="853" spans="1:16" ht="12.5" x14ac:dyDescent="0.25">
      <c r="A853" s="1">
        <v>10952</v>
      </c>
      <c r="B853" s="1" t="s">
        <v>42</v>
      </c>
      <c r="C853" s="1" t="s">
        <v>43</v>
      </c>
      <c r="D853" t="s">
        <v>67</v>
      </c>
      <c r="E853" s="1">
        <v>150</v>
      </c>
      <c r="F853" s="1">
        <v>200</v>
      </c>
      <c r="G853" s="1">
        <v>989</v>
      </c>
      <c r="H853" s="1">
        <f>Int_breweries[[#This Row],[PLANT_COST]]*Int_breweries[[#This Row],[QUANTITY]]</f>
        <v>148350</v>
      </c>
      <c r="I853" s="1">
        <v>197800</v>
      </c>
      <c r="J853" s="1">
        <v>49450</v>
      </c>
      <c r="K853" s="1" t="s">
        <v>19</v>
      </c>
      <c r="L853" t="s">
        <v>60</v>
      </c>
      <c r="M853" s="1" t="s">
        <v>48</v>
      </c>
      <c r="N853" s="1">
        <v>2017</v>
      </c>
      <c r="O853" t="str" cm="1">
        <f t="array" ref="O853">_xlfn.IFS(OR($K853="Ghana", $K853="Nigeria"), "Anglophone", OR($K853="Togo", $K853="Benin", $K853="Senegal"), "Francophone")</f>
        <v>Anglophone</v>
      </c>
      <c r="P853" s="1" t="str">
        <f>LEFT(Int_breweries[[#This Row],[MONTHS]], 3)</f>
        <v>Dec</v>
      </c>
    </row>
    <row r="854" spans="1:16" ht="12.5" x14ac:dyDescent="0.25">
      <c r="A854" s="1">
        <v>10953</v>
      </c>
      <c r="B854" s="1" t="s">
        <v>45</v>
      </c>
      <c r="C854" s="1" t="s">
        <v>46</v>
      </c>
      <c r="D854" t="s">
        <v>68</v>
      </c>
      <c r="E854" s="1">
        <v>80</v>
      </c>
      <c r="F854" s="1">
        <v>150</v>
      </c>
      <c r="G854" s="1">
        <v>948</v>
      </c>
      <c r="H854" s="1">
        <f>Int_breweries[[#This Row],[PLANT_COST]]*Int_breweries[[#This Row],[QUANTITY]]</f>
        <v>75840</v>
      </c>
      <c r="I854" s="1">
        <v>142200</v>
      </c>
      <c r="J854" s="1">
        <v>66360</v>
      </c>
      <c r="K854" s="1" t="s">
        <v>24</v>
      </c>
      <c r="L854" t="s">
        <v>61</v>
      </c>
      <c r="M854" s="1" t="s">
        <v>16</v>
      </c>
      <c r="N854" s="1">
        <v>2019</v>
      </c>
      <c r="O854" t="str" cm="1">
        <f t="array" ref="O854">_xlfn.IFS(OR($K854="Ghana", $K854="Nigeria"), "Anglophone", OR($K854="Togo", $K854="Benin", $K854="Senegal"), "Francophone")</f>
        <v>Francophone</v>
      </c>
      <c r="P854" s="1" t="str">
        <f>LEFT(Int_breweries[[#This Row],[MONTHS]], 3)</f>
        <v>Jan</v>
      </c>
    </row>
    <row r="855" spans="1:16" ht="12.5" x14ac:dyDescent="0.25">
      <c r="A855" s="1">
        <v>10954</v>
      </c>
      <c r="B855" s="1" t="s">
        <v>26</v>
      </c>
      <c r="C855" s="1" t="s">
        <v>27</v>
      </c>
      <c r="D855" t="s">
        <v>69</v>
      </c>
      <c r="E855" s="1">
        <v>90</v>
      </c>
      <c r="F855" s="1">
        <v>150</v>
      </c>
      <c r="G855" s="1">
        <v>919</v>
      </c>
      <c r="H855" s="1">
        <f>Int_breweries[[#This Row],[PLANT_COST]]*Int_breweries[[#This Row],[QUANTITY]]</f>
        <v>82710</v>
      </c>
      <c r="I855" s="1">
        <v>137850</v>
      </c>
      <c r="J855" s="1">
        <v>55140</v>
      </c>
      <c r="K855" s="1" t="s">
        <v>28</v>
      </c>
      <c r="L855" t="s">
        <v>62</v>
      </c>
      <c r="M855" s="1" t="s">
        <v>21</v>
      </c>
      <c r="N855" s="1">
        <v>2019</v>
      </c>
      <c r="O855" t="str" cm="1">
        <f t="array" ref="O855">_xlfn.IFS(OR($K855="Ghana", $K855="Nigeria"), "Anglophone", OR($K855="Togo", $K855="Benin", $K855="Senegal"), "Francophone")</f>
        <v>Francophone</v>
      </c>
      <c r="P855" s="1" t="str">
        <f>LEFT(Int_breweries[[#This Row],[MONTHS]], 3)</f>
        <v>Feb</v>
      </c>
    </row>
    <row r="856" spans="1:16" ht="12.5" x14ac:dyDescent="0.25">
      <c r="A856" s="1">
        <v>10955</v>
      </c>
      <c r="B856" s="1" t="s">
        <v>49</v>
      </c>
      <c r="C856" s="1" t="s">
        <v>50</v>
      </c>
      <c r="D856" t="s">
        <v>63</v>
      </c>
      <c r="E856" s="1">
        <v>150</v>
      </c>
      <c r="F856" s="1">
        <v>200</v>
      </c>
      <c r="G856" s="1">
        <v>887</v>
      </c>
      <c r="H856" s="1">
        <f>Int_breweries[[#This Row],[PLANT_COST]]*Int_breweries[[#This Row],[QUANTITY]]</f>
        <v>133050</v>
      </c>
      <c r="I856" s="1">
        <v>177400</v>
      </c>
      <c r="J856" s="1">
        <v>44350</v>
      </c>
      <c r="K856" s="1" t="s">
        <v>32</v>
      </c>
      <c r="L856" t="s">
        <v>15</v>
      </c>
      <c r="M856" s="1" t="s">
        <v>25</v>
      </c>
      <c r="N856" s="1">
        <v>2017</v>
      </c>
      <c r="O856" t="str" cm="1">
        <f t="array" ref="O856">_xlfn.IFS(OR($K856="Ghana", $K856="Nigeria"), "Anglophone", OR($K856="Togo", $K856="Benin", $K856="Senegal"), "Francophone")</f>
        <v>Francophone</v>
      </c>
      <c r="P856" s="1" t="str">
        <f>LEFT(Int_breweries[[#This Row],[MONTHS]], 3)</f>
        <v>Mar</v>
      </c>
    </row>
    <row r="857" spans="1:16" ht="12.5" x14ac:dyDescent="0.25">
      <c r="A857" s="1">
        <v>10956</v>
      </c>
      <c r="B857" s="1" t="s">
        <v>26</v>
      </c>
      <c r="C857" s="1" t="s">
        <v>27</v>
      </c>
      <c r="D857" t="s">
        <v>64</v>
      </c>
      <c r="E857" s="1">
        <v>250</v>
      </c>
      <c r="F857" s="1">
        <v>500</v>
      </c>
      <c r="G857" s="1">
        <v>784</v>
      </c>
      <c r="H857" s="1">
        <f>Int_breweries[[#This Row],[PLANT_COST]]*Int_breweries[[#This Row],[QUANTITY]]</f>
        <v>196000</v>
      </c>
      <c r="I857" s="1">
        <v>392000</v>
      </c>
      <c r="J857" s="1">
        <v>196000</v>
      </c>
      <c r="K857" s="1" t="s">
        <v>14</v>
      </c>
      <c r="L857" t="s">
        <v>58</v>
      </c>
      <c r="M857" s="1" t="s">
        <v>29</v>
      </c>
      <c r="N857" s="1">
        <v>2019</v>
      </c>
      <c r="O857" t="str" cm="1">
        <f t="array" ref="O857">_xlfn.IFS(OR($K857="Ghana", $K857="Nigeria"), "Anglophone", OR($K857="Togo", $K857="Benin", $K857="Senegal"), "Francophone")</f>
        <v>Anglophone</v>
      </c>
      <c r="P857" s="1" t="str">
        <f>LEFT(Int_breweries[[#This Row],[MONTHS]], 3)</f>
        <v>Apr</v>
      </c>
    </row>
    <row r="858" spans="1:16" ht="12.5" x14ac:dyDescent="0.25">
      <c r="A858" s="1">
        <v>10957</v>
      </c>
      <c r="B858" s="1" t="s">
        <v>12</v>
      </c>
      <c r="C858" s="1" t="s">
        <v>13</v>
      </c>
      <c r="D858" t="s">
        <v>65</v>
      </c>
      <c r="E858" s="1">
        <v>180</v>
      </c>
      <c r="F858" s="1">
        <v>450</v>
      </c>
      <c r="G858" s="1">
        <v>795</v>
      </c>
      <c r="H858" s="1">
        <f>Int_breweries[[#This Row],[PLANT_COST]]*Int_breweries[[#This Row],[QUANTITY]]</f>
        <v>143100</v>
      </c>
      <c r="I858" s="1">
        <v>357750</v>
      </c>
      <c r="J858" s="1">
        <v>214650</v>
      </c>
      <c r="K858" s="1" t="s">
        <v>19</v>
      </c>
      <c r="L858" t="s">
        <v>59</v>
      </c>
      <c r="M858" s="1" t="s">
        <v>33</v>
      </c>
      <c r="N858" s="1">
        <v>2017</v>
      </c>
      <c r="O858" t="str" cm="1">
        <f t="array" ref="O858">_xlfn.IFS(OR($K858="Ghana", $K858="Nigeria"), "Anglophone", OR($K858="Togo", $K858="Benin", $K858="Senegal"), "Francophone")</f>
        <v>Anglophone</v>
      </c>
      <c r="P858" s="1" t="str">
        <f>LEFT(Int_breweries[[#This Row],[MONTHS]], 3)</f>
        <v>May</v>
      </c>
    </row>
    <row r="859" spans="1:16" ht="12.5" x14ac:dyDescent="0.25">
      <c r="A859" s="1">
        <v>10958</v>
      </c>
      <c r="B859" s="1" t="s">
        <v>17</v>
      </c>
      <c r="C859" s="1" t="s">
        <v>18</v>
      </c>
      <c r="D859" t="s">
        <v>66</v>
      </c>
      <c r="E859" s="1">
        <v>170</v>
      </c>
      <c r="F859" s="1">
        <v>250</v>
      </c>
      <c r="G859" s="1">
        <v>948</v>
      </c>
      <c r="H859" s="1">
        <f>Int_breweries[[#This Row],[PLANT_COST]]*Int_breweries[[#This Row],[QUANTITY]]</f>
        <v>161160</v>
      </c>
      <c r="I859" s="1">
        <v>237000</v>
      </c>
      <c r="J859" s="1">
        <v>75840</v>
      </c>
      <c r="K859" s="1" t="s">
        <v>24</v>
      </c>
      <c r="L859" t="s">
        <v>60</v>
      </c>
      <c r="M859" s="1" t="s">
        <v>34</v>
      </c>
      <c r="N859" s="1">
        <v>2019</v>
      </c>
      <c r="O859" t="str" cm="1">
        <f t="array" ref="O859">_xlfn.IFS(OR($K859="Ghana", $K859="Nigeria"), "Anglophone", OR($K859="Togo", $K859="Benin", $K859="Senegal"), "Francophone")</f>
        <v>Francophone</v>
      </c>
      <c r="P859" s="1" t="str">
        <f>LEFT(Int_breweries[[#This Row],[MONTHS]], 3)</f>
        <v>Jun</v>
      </c>
    </row>
    <row r="860" spans="1:16" ht="12.5" x14ac:dyDescent="0.25">
      <c r="A860" s="1">
        <v>10959</v>
      </c>
      <c r="B860" s="1" t="s">
        <v>22</v>
      </c>
      <c r="C860" s="1" t="s">
        <v>23</v>
      </c>
      <c r="D860" t="s">
        <v>67</v>
      </c>
      <c r="E860" s="1">
        <v>150</v>
      </c>
      <c r="F860" s="1">
        <v>200</v>
      </c>
      <c r="G860" s="1">
        <v>787</v>
      </c>
      <c r="H860" s="1">
        <f>Int_breweries[[#This Row],[PLANT_COST]]*Int_breweries[[#This Row],[QUANTITY]]</f>
        <v>118050</v>
      </c>
      <c r="I860" s="1">
        <v>157400</v>
      </c>
      <c r="J860" s="1">
        <v>39350</v>
      </c>
      <c r="K860" s="1" t="s">
        <v>28</v>
      </c>
      <c r="L860" t="s">
        <v>61</v>
      </c>
      <c r="M860" s="1" t="s">
        <v>37</v>
      </c>
      <c r="N860" s="1">
        <v>2019</v>
      </c>
      <c r="O860" t="str" cm="1">
        <f t="array" ref="O860">_xlfn.IFS(OR($K860="Ghana", $K860="Nigeria"), "Anglophone", OR($K860="Togo", $K860="Benin", $K860="Senegal"), "Francophone")</f>
        <v>Francophone</v>
      </c>
      <c r="P860" s="1" t="str">
        <f>LEFT(Int_breweries[[#This Row],[MONTHS]], 3)</f>
        <v>Jul</v>
      </c>
    </row>
    <row r="861" spans="1:16" ht="12.5" x14ac:dyDescent="0.25">
      <c r="A861" s="1">
        <v>10960</v>
      </c>
      <c r="B861" s="1" t="s">
        <v>26</v>
      </c>
      <c r="C861" s="1" t="s">
        <v>27</v>
      </c>
      <c r="D861" t="s">
        <v>68</v>
      </c>
      <c r="E861" s="1">
        <v>80</v>
      </c>
      <c r="F861" s="1">
        <v>150</v>
      </c>
      <c r="G861" s="1">
        <v>977</v>
      </c>
      <c r="H861" s="1">
        <f>Int_breweries[[#This Row],[PLANT_COST]]*Int_breweries[[#This Row],[QUANTITY]]</f>
        <v>78160</v>
      </c>
      <c r="I861" s="1">
        <v>146550</v>
      </c>
      <c r="J861" s="1">
        <v>68390</v>
      </c>
      <c r="K861" s="1" t="s">
        <v>32</v>
      </c>
      <c r="L861" t="s">
        <v>62</v>
      </c>
      <c r="M861" s="1" t="s">
        <v>38</v>
      </c>
      <c r="N861" s="1">
        <v>2018</v>
      </c>
      <c r="O861" t="str" cm="1">
        <f t="array" ref="O861">_xlfn.IFS(OR($K861="Ghana", $K861="Nigeria"), "Anglophone", OR($K861="Togo", $K861="Benin", $K861="Senegal"), "Francophone")</f>
        <v>Francophone</v>
      </c>
      <c r="P861" s="1" t="str">
        <f>LEFT(Int_breweries[[#This Row],[MONTHS]], 3)</f>
        <v>Aug</v>
      </c>
    </row>
    <row r="862" spans="1:16" ht="12.5" x14ac:dyDescent="0.25">
      <c r="A862" s="1">
        <v>10961</v>
      </c>
      <c r="B862" s="1" t="s">
        <v>30</v>
      </c>
      <c r="C862" s="1" t="s">
        <v>31</v>
      </c>
      <c r="D862" t="s">
        <v>69</v>
      </c>
      <c r="E862" s="1">
        <v>90</v>
      </c>
      <c r="F862" s="1">
        <v>150</v>
      </c>
      <c r="G862" s="1">
        <v>955</v>
      </c>
      <c r="H862" s="1">
        <f>Int_breweries[[#This Row],[PLANT_COST]]*Int_breweries[[#This Row],[QUANTITY]]</f>
        <v>85950</v>
      </c>
      <c r="I862" s="1">
        <v>143250</v>
      </c>
      <c r="J862" s="1">
        <v>57300</v>
      </c>
      <c r="K862" s="1" t="s">
        <v>14</v>
      </c>
      <c r="L862" t="s">
        <v>15</v>
      </c>
      <c r="M862" s="1" t="s">
        <v>41</v>
      </c>
      <c r="N862" s="1">
        <v>2017</v>
      </c>
      <c r="O862" t="str" cm="1">
        <f t="array" ref="O862">_xlfn.IFS(OR($K862="Ghana", $K862="Nigeria"), "Anglophone", OR($K862="Togo", $K862="Benin", $K862="Senegal"), "Francophone")</f>
        <v>Anglophone</v>
      </c>
      <c r="P862" s="1" t="str">
        <f>LEFT(Int_breweries[[#This Row],[MONTHS]], 3)</f>
        <v>Sep</v>
      </c>
    </row>
    <row r="863" spans="1:16" ht="12.5" x14ac:dyDescent="0.25">
      <c r="A863" s="1">
        <v>10962</v>
      </c>
      <c r="B863" s="1" t="s">
        <v>12</v>
      </c>
      <c r="C863" s="1" t="s">
        <v>13</v>
      </c>
      <c r="D863" t="s">
        <v>63</v>
      </c>
      <c r="E863" s="1">
        <v>150</v>
      </c>
      <c r="F863" s="1">
        <v>200</v>
      </c>
      <c r="G863" s="1">
        <v>955</v>
      </c>
      <c r="H863" s="1">
        <f>Int_breweries[[#This Row],[PLANT_COST]]*Int_breweries[[#This Row],[QUANTITY]]</f>
        <v>143250</v>
      </c>
      <c r="I863" s="1">
        <v>191000</v>
      </c>
      <c r="J863" s="1">
        <v>47750</v>
      </c>
      <c r="K863" s="1" t="s">
        <v>19</v>
      </c>
      <c r="L863" t="s">
        <v>58</v>
      </c>
      <c r="M863" s="1" t="s">
        <v>44</v>
      </c>
      <c r="N863" s="1">
        <v>2018</v>
      </c>
      <c r="O863" t="str" cm="1">
        <f t="array" ref="O863">_xlfn.IFS(OR($K863="Ghana", $K863="Nigeria"), "Anglophone", OR($K863="Togo", $K863="Benin", $K863="Senegal"), "Francophone")</f>
        <v>Anglophone</v>
      </c>
      <c r="P863" s="1" t="str">
        <f>LEFT(Int_breweries[[#This Row],[MONTHS]], 3)</f>
        <v>Oct</v>
      </c>
    </row>
    <row r="864" spans="1:16" ht="12.5" x14ac:dyDescent="0.25">
      <c r="A864" s="1">
        <v>10963</v>
      </c>
      <c r="B864" s="1" t="s">
        <v>35</v>
      </c>
      <c r="C864" s="1" t="s">
        <v>36</v>
      </c>
      <c r="D864" t="s">
        <v>64</v>
      </c>
      <c r="E864" s="1">
        <v>250</v>
      </c>
      <c r="F864" s="1">
        <v>500</v>
      </c>
      <c r="G864" s="1">
        <v>765</v>
      </c>
      <c r="H864" s="1">
        <f>Int_breweries[[#This Row],[PLANT_COST]]*Int_breweries[[#This Row],[QUANTITY]]</f>
        <v>191250</v>
      </c>
      <c r="I864" s="1">
        <v>382500</v>
      </c>
      <c r="J864" s="1">
        <v>191250</v>
      </c>
      <c r="K864" s="1" t="s">
        <v>24</v>
      </c>
      <c r="L864" t="s">
        <v>59</v>
      </c>
      <c r="M864" s="1" t="s">
        <v>47</v>
      </c>
      <c r="N864" s="1">
        <v>2017</v>
      </c>
      <c r="O864" t="str" cm="1">
        <f t="array" ref="O864">_xlfn.IFS(OR($K864="Ghana", $K864="Nigeria"), "Anglophone", OR($K864="Togo", $K864="Benin", $K864="Senegal"), "Francophone")</f>
        <v>Francophone</v>
      </c>
      <c r="P864" s="1" t="str">
        <f>LEFT(Int_breweries[[#This Row],[MONTHS]], 3)</f>
        <v>Nov</v>
      </c>
    </row>
    <row r="865" spans="1:16" ht="12.5" x14ac:dyDescent="0.25">
      <c r="A865" s="1">
        <v>10964</v>
      </c>
      <c r="B865" s="1" t="s">
        <v>26</v>
      </c>
      <c r="C865" s="1" t="s">
        <v>27</v>
      </c>
      <c r="D865" t="s">
        <v>65</v>
      </c>
      <c r="E865" s="1">
        <v>180</v>
      </c>
      <c r="F865" s="1">
        <v>450</v>
      </c>
      <c r="G865" s="1">
        <v>887</v>
      </c>
      <c r="H865" s="1">
        <f>Int_breweries[[#This Row],[PLANT_COST]]*Int_breweries[[#This Row],[QUANTITY]]</f>
        <v>159660</v>
      </c>
      <c r="I865" s="1">
        <v>399150</v>
      </c>
      <c r="J865" s="1">
        <v>239490</v>
      </c>
      <c r="K865" s="1" t="s">
        <v>28</v>
      </c>
      <c r="L865" t="s">
        <v>60</v>
      </c>
      <c r="M865" s="1" t="s">
        <v>48</v>
      </c>
      <c r="N865" s="1">
        <v>2019</v>
      </c>
      <c r="O865" t="str" cm="1">
        <f t="array" ref="O865">_xlfn.IFS(OR($K865="Ghana", $K865="Nigeria"), "Anglophone", OR($K865="Togo", $K865="Benin", $K865="Senegal"), "Francophone")</f>
        <v>Francophone</v>
      </c>
      <c r="P865" s="1" t="str">
        <f>LEFT(Int_breweries[[#This Row],[MONTHS]], 3)</f>
        <v>Dec</v>
      </c>
    </row>
    <row r="866" spans="1:16" ht="12.5" x14ac:dyDescent="0.25">
      <c r="A866" s="1">
        <v>10965</v>
      </c>
      <c r="B866" s="1" t="s">
        <v>39</v>
      </c>
      <c r="C866" s="1" t="s">
        <v>40</v>
      </c>
      <c r="D866" t="s">
        <v>66</v>
      </c>
      <c r="E866" s="1">
        <v>170</v>
      </c>
      <c r="F866" s="1">
        <v>250</v>
      </c>
      <c r="G866" s="1">
        <v>729</v>
      </c>
      <c r="H866" s="1">
        <f>Int_breweries[[#This Row],[PLANT_COST]]*Int_breweries[[#This Row],[QUANTITY]]</f>
        <v>123930</v>
      </c>
      <c r="I866" s="1">
        <v>182250</v>
      </c>
      <c r="J866" s="1">
        <v>58320</v>
      </c>
      <c r="K866" s="1" t="s">
        <v>32</v>
      </c>
      <c r="L866" t="s">
        <v>61</v>
      </c>
      <c r="M866" s="1" t="s">
        <v>16</v>
      </c>
      <c r="N866" s="1">
        <v>2019</v>
      </c>
      <c r="O866" t="str" cm="1">
        <f t="array" ref="O866">_xlfn.IFS(OR($K866="Ghana", $K866="Nigeria"), "Anglophone", OR($K866="Togo", $K866="Benin", $K866="Senegal"), "Francophone")</f>
        <v>Francophone</v>
      </c>
      <c r="P866" s="1" t="str">
        <f>LEFT(Int_breweries[[#This Row],[MONTHS]], 3)</f>
        <v>Jan</v>
      </c>
    </row>
    <row r="867" spans="1:16" ht="12.5" x14ac:dyDescent="0.25">
      <c r="A867" s="1">
        <v>10966</v>
      </c>
      <c r="B867" s="1" t="s">
        <v>42</v>
      </c>
      <c r="C867" s="1" t="s">
        <v>43</v>
      </c>
      <c r="D867" t="s">
        <v>67</v>
      </c>
      <c r="E867" s="1">
        <v>150</v>
      </c>
      <c r="F867" s="1">
        <v>200</v>
      </c>
      <c r="G867" s="1">
        <v>836</v>
      </c>
      <c r="H867" s="1">
        <f>Int_breweries[[#This Row],[PLANT_COST]]*Int_breweries[[#This Row],[QUANTITY]]</f>
        <v>125400</v>
      </c>
      <c r="I867" s="1">
        <v>167200</v>
      </c>
      <c r="J867" s="1">
        <v>41800</v>
      </c>
      <c r="K867" s="1" t="s">
        <v>14</v>
      </c>
      <c r="L867" t="s">
        <v>62</v>
      </c>
      <c r="M867" s="1" t="s">
        <v>21</v>
      </c>
      <c r="N867" s="1">
        <v>2019</v>
      </c>
      <c r="O867" t="str" cm="1">
        <f t="array" ref="O867">_xlfn.IFS(OR($K867="Ghana", $K867="Nigeria"), "Anglophone", OR($K867="Togo", $K867="Benin", $K867="Senegal"), "Francophone")</f>
        <v>Anglophone</v>
      </c>
      <c r="P867" s="1" t="str">
        <f>LEFT(Int_breweries[[#This Row],[MONTHS]], 3)</f>
        <v>Feb</v>
      </c>
    </row>
    <row r="868" spans="1:16" ht="12.5" x14ac:dyDescent="0.25">
      <c r="A868" s="1">
        <v>10967</v>
      </c>
      <c r="B868" s="1" t="s">
        <v>45</v>
      </c>
      <c r="C868" s="1" t="s">
        <v>46</v>
      </c>
      <c r="D868" t="s">
        <v>68</v>
      </c>
      <c r="E868" s="1">
        <v>80</v>
      </c>
      <c r="F868" s="1">
        <v>150</v>
      </c>
      <c r="G868" s="1">
        <v>797</v>
      </c>
      <c r="H868" s="1">
        <f>Int_breweries[[#This Row],[PLANT_COST]]*Int_breweries[[#This Row],[QUANTITY]]</f>
        <v>63760</v>
      </c>
      <c r="I868" s="1">
        <v>119550</v>
      </c>
      <c r="J868" s="1">
        <v>55790</v>
      </c>
      <c r="K868" s="1" t="s">
        <v>19</v>
      </c>
      <c r="L868" t="s">
        <v>15</v>
      </c>
      <c r="M868" s="1" t="s">
        <v>25</v>
      </c>
      <c r="N868" s="1">
        <v>2018</v>
      </c>
      <c r="O868" t="str" cm="1">
        <f t="array" ref="O868">_xlfn.IFS(OR($K868="Ghana", $K868="Nigeria"), "Anglophone", OR($K868="Togo", $K868="Benin", $K868="Senegal"), "Francophone")</f>
        <v>Anglophone</v>
      </c>
      <c r="P868" s="1" t="str">
        <f>LEFT(Int_breweries[[#This Row],[MONTHS]], 3)</f>
        <v>Mar</v>
      </c>
    </row>
    <row r="869" spans="1:16" ht="12.5" x14ac:dyDescent="0.25">
      <c r="A869" s="1">
        <v>10968</v>
      </c>
      <c r="B869" s="1" t="s">
        <v>26</v>
      </c>
      <c r="C869" s="1" t="s">
        <v>27</v>
      </c>
      <c r="D869" t="s">
        <v>69</v>
      </c>
      <c r="E869" s="1">
        <v>90</v>
      </c>
      <c r="F869" s="1">
        <v>150</v>
      </c>
      <c r="G869" s="1">
        <v>791</v>
      </c>
      <c r="H869" s="1">
        <f>Int_breweries[[#This Row],[PLANT_COST]]*Int_breweries[[#This Row],[QUANTITY]]</f>
        <v>71190</v>
      </c>
      <c r="I869" s="1">
        <v>118650</v>
      </c>
      <c r="J869" s="1">
        <v>47460</v>
      </c>
      <c r="K869" s="1" t="s">
        <v>24</v>
      </c>
      <c r="L869" t="s">
        <v>58</v>
      </c>
      <c r="M869" s="1" t="s">
        <v>29</v>
      </c>
      <c r="N869" s="1">
        <v>2019</v>
      </c>
      <c r="O869" t="str" cm="1">
        <f t="array" ref="O869">_xlfn.IFS(OR($K869="Ghana", $K869="Nigeria"), "Anglophone", OR($K869="Togo", $K869="Benin", $K869="Senegal"), "Francophone")</f>
        <v>Francophone</v>
      </c>
      <c r="P869" s="1" t="str">
        <f>LEFT(Int_breweries[[#This Row],[MONTHS]], 3)</f>
        <v>Apr</v>
      </c>
    </row>
    <row r="870" spans="1:16" ht="12.5" x14ac:dyDescent="0.25">
      <c r="A870" s="1">
        <v>10969</v>
      </c>
      <c r="B870" s="1" t="s">
        <v>49</v>
      </c>
      <c r="C870" s="1" t="s">
        <v>50</v>
      </c>
      <c r="D870" t="s">
        <v>63</v>
      </c>
      <c r="E870" s="1">
        <v>150</v>
      </c>
      <c r="F870" s="1">
        <v>200</v>
      </c>
      <c r="G870" s="1">
        <v>773</v>
      </c>
      <c r="H870" s="1">
        <f>Int_breweries[[#This Row],[PLANT_COST]]*Int_breweries[[#This Row],[QUANTITY]]</f>
        <v>115950</v>
      </c>
      <c r="I870" s="1">
        <v>154600</v>
      </c>
      <c r="J870" s="1">
        <v>38650</v>
      </c>
      <c r="K870" s="1" t="s">
        <v>28</v>
      </c>
      <c r="L870" t="s">
        <v>59</v>
      </c>
      <c r="M870" s="1" t="s">
        <v>33</v>
      </c>
      <c r="N870" s="1">
        <v>2018</v>
      </c>
      <c r="O870" t="str" cm="1">
        <f t="array" ref="O870">_xlfn.IFS(OR($K870="Ghana", $K870="Nigeria"), "Anglophone", OR($K870="Togo", $K870="Benin", $K870="Senegal"), "Francophone")</f>
        <v>Francophone</v>
      </c>
      <c r="P870" s="1" t="str">
        <f>LEFT(Int_breweries[[#This Row],[MONTHS]], 3)</f>
        <v>May</v>
      </c>
    </row>
    <row r="871" spans="1:16" ht="12.5" x14ac:dyDescent="0.25">
      <c r="A871" s="1">
        <v>10970</v>
      </c>
      <c r="B871" s="1" t="s">
        <v>26</v>
      </c>
      <c r="C871" s="1" t="s">
        <v>27</v>
      </c>
      <c r="D871" t="s">
        <v>64</v>
      </c>
      <c r="E871" s="1">
        <v>250</v>
      </c>
      <c r="F871" s="1">
        <v>500</v>
      </c>
      <c r="G871" s="1">
        <v>767</v>
      </c>
      <c r="H871" s="1">
        <f>Int_breweries[[#This Row],[PLANT_COST]]*Int_breweries[[#This Row],[QUANTITY]]</f>
        <v>191750</v>
      </c>
      <c r="I871" s="1">
        <v>383500</v>
      </c>
      <c r="J871" s="1">
        <v>191750</v>
      </c>
      <c r="K871" s="1" t="s">
        <v>32</v>
      </c>
      <c r="L871" t="s">
        <v>60</v>
      </c>
      <c r="M871" s="1" t="s">
        <v>34</v>
      </c>
      <c r="N871" s="1">
        <v>2017</v>
      </c>
      <c r="O871" t="str" cm="1">
        <f t="array" ref="O871">_xlfn.IFS(OR($K871="Ghana", $K871="Nigeria"), "Anglophone", OR($K871="Togo", $K871="Benin", $K871="Senegal"), "Francophone")</f>
        <v>Francophone</v>
      </c>
      <c r="P871" s="1" t="str">
        <f>LEFT(Int_breweries[[#This Row],[MONTHS]], 3)</f>
        <v>Jun</v>
      </c>
    </row>
    <row r="872" spans="1:16" ht="12.5" x14ac:dyDescent="0.25">
      <c r="A872" s="1">
        <v>10971</v>
      </c>
      <c r="B872" s="1" t="s">
        <v>39</v>
      </c>
      <c r="C872" s="1" t="s">
        <v>40</v>
      </c>
      <c r="D872" t="s">
        <v>65</v>
      </c>
      <c r="E872" s="1">
        <v>180</v>
      </c>
      <c r="F872" s="1">
        <v>450</v>
      </c>
      <c r="G872" s="1">
        <v>939</v>
      </c>
      <c r="H872" s="1">
        <f>Int_breweries[[#This Row],[PLANT_COST]]*Int_breweries[[#This Row],[QUANTITY]]</f>
        <v>169020</v>
      </c>
      <c r="I872" s="1">
        <v>422550</v>
      </c>
      <c r="J872" s="1">
        <v>253530</v>
      </c>
      <c r="K872" s="1" t="s">
        <v>14</v>
      </c>
      <c r="L872" t="s">
        <v>61</v>
      </c>
      <c r="M872" s="1" t="s">
        <v>37</v>
      </c>
      <c r="N872" s="1">
        <v>2019</v>
      </c>
      <c r="O872" t="str" cm="1">
        <f t="array" ref="O872">_xlfn.IFS(OR($K872="Ghana", $K872="Nigeria"), "Anglophone", OR($K872="Togo", $K872="Benin", $K872="Senegal"), "Francophone")</f>
        <v>Anglophone</v>
      </c>
      <c r="P872" s="1" t="str">
        <f>LEFT(Int_breweries[[#This Row],[MONTHS]], 3)</f>
        <v>Jul</v>
      </c>
    </row>
    <row r="873" spans="1:16" ht="12.5" x14ac:dyDescent="0.25">
      <c r="A873" s="1">
        <v>10972</v>
      </c>
      <c r="B873" s="1" t="s">
        <v>26</v>
      </c>
      <c r="C873" s="1" t="s">
        <v>27</v>
      </c>
      <c r="D873" t="s">
        <v>66</v>
      </c>
      <c r="E873" s="1">
        <v>170</v>
      </c>
      <c r="F873" s="1">
        <v>250</v>
      </c>
      <c r="G873" s="1">
        <v>832</v>
      </c>
      <c r="H873" s="1">
        <f>Int_breweries[[#This Row],[PLANT_COST]]*Int_breweries[[#This Row],[QUANTITY]]</f>
        <v>141440</v>
      </c>
      <c r="I873" s="1">
        <v>208000</v>
      </c>
      <c r="J873" s="1">
        <v>66560</v>
      </c>
      <c r="K873" s="1" t="s">
        <v>19</v>
      </c>
      <c r="L873" t="s">
        <v>62</v>
      </c>
      <c r="M873" s="1" t="s">
        <v>38</v>
      </c>
      <c r="N873" s="1">
        <v>2018</v>
      </c>
      <c r="O873" t="str" cm="1">
        <f t="array" ref="O873">_xlfn.IFS(OR($K873="Ghana", $K873="Nigeria"), "Anglophone", OR($K873="Togo", $K873="Benin", $K873="Senegal"), "Francophone")</f>
        <v>Anglophone</v>
      </c>
      <c r="P873" s="1" t="str">
        <f>LEFT(Int_breweries[[#This Row],[MONTHS]], 3)</f>
        <v>Aug</v>
      </c>
    </row>
    <row r="874" spans="1:16" ht="12.5" x14ac:dyDescent="0.25">
      <c r="A874" s="1">
        <v>10973</v>
      </c>
      <c r="B874" s="1" t="s">
        <v>45</v>
      </c>
      <c r="C874" s="1" t="s">
        <v>46</v>
      </c>
      <c r="D874" t="s">
        <v>67</v>
      </c>
      <c r="E874" s="1">
        <v>150</v>
      </c>
      <c r="F874" s="1">
        <v>200</v>
      </c>
      <c r="G874" s="1">
        <v>768</v>
      </c>
      <c r="H874" s="1">
        <f>Int_breweries[[#This Row],[PLANT_COST]]*Int_breweries[[#This Row],[QUANTITY]]</f>
        <v>115200</v>
      </c>
      <c r="I874" s="1">
        <v>153600</v>
      </c>
      <c r="J874" s="1">
        <v>38400</v>
      </c>
      <c r="K874" s="1" t="s">
        <v>24</v>
      </c>
      <c r="L874" t="s">
        <v>15</v>
      </c>
      <c r="M874" s="1" t="s">
        <v>41</v>
      </c>
      <c r="N874" s="1">
        <v>2018</v>
      </c>
      <c r="O874" t="str" cm="1">
        <f t="array" ref="O874">_xlfn.IFS(OR($K874="Ghana", $K874="Nigeria"), "Anglophone", OR($K874="Togo", $K874="Benin", $K874="Senegal"), "Francophone")</f>
        <v>Francophone</v>
      </c>
      <c r="P874" s="1" t="str">
        <f>LEFT(Int_breweries[[#This Row],[MONTHS]], 3)</f>
        <v>Sep</v>
      </c>
    </row>
    <row r="875" spans="1:16" ht="12.5" x14ac:dyDescent="0.25">
      <c r="A875" s="1">
        <v>10974</v>
      </c>
      <c r="B875" s="1" t="s">
        <v>51</v>
      </c>
      <c r="C875" s="1" t="s">
        <v>52</v>
      </c>
      <c r="D875" t="s">
        <v>68</v>
      </c>
      <c r="E875" s="1">
        <v>80</v>
      </c>
      <c r="F875" s="1">
        <v>150</v>
      </c>
      <c r="G875" s="1">
        <v>958</v>
      </c>
      <c r="H875" s="1">
        <f>Int_breweries[[#This Row],[PLANT_COST]]*Int_breweries[[#This Row],[QUANTITY]]</f>
        <v>76640</v>
      </c>
      <c r="I875" s="1">
        <v>143700</v>
      </c>
      <c r="J875" s="1">
        <v>67060</v>
      </c>
      <c r="K875" s="1" t="s">
        <v>28</v>
      </c>
      <c r="L875" t="s">
        <v>58</v>
      </c>
      <c r="M875" s="1" t="s">
        <v>44</v>
      </c>
      <c r="N875" s="1">
        <v>2017</v>
      </c>
      <c r="O875" t="str" cm="1">
        <f t="array" ref="O875">_xlfn.IFS(OR($K875="Ghana", $K875="Nigeria"), "Anglophone", OR($K875="Togo", $K875="Benin", $K875="Senegal"), "Francophone")</f>
        <v>Francophone</v>
      </c>
      <c r="P875" s="1" t="str">
        <f>LEFT(Int_breweries[[#This Row],[MONTHS]], 3)</f>
        <v>Oct</v>
      </c>
    </row>
    <row r="876" spans="1:16" ht="12.5" x14ac:dyDescent="0.25">
      <c r="A876" s="1">
        <v>10975</v>
      </c>
      <c r="B876" s="1" t="s">
        <v>49</v>
      </c>
      <c r="C876" s="1" t="s">
        <v>50</v>
      </c>
      <c r="D876" t="s">
        <v>69</v>
      </c>
      <c r="E876" s="1">
        <v>90</v>
      </c>
      <c r="F876" s="1">
        <v>150</v>
      </c>
      <c r="G876" s="1">
        <v>958</v>
      </c>
      <c r="H876" s="1">
        <f>Int_breweries[[#This Row],[PLANT_COST]]*Int_breweries[[#This Row],[QUANTITY]]</f>
        <v>86220</v>
      </c>
      <c r="I876" s="1">
        <v>143700</v>
      </c>
      <c r="J876" s="1">
        <v>57480</v>
      </c>
      <c r="K876" s="1" t="s">
        <v>32</v>
      </c>
      <c r="L876" t="s">
        <v>59</v>
      </c>
      <c r="M876" s="1" t="s">
        <v>47</v>
      </c>
      <c r="N876" s="1">
        <v>2018</v>
      </c>
      <c r="O876" t="str" cm="1">
        <f t="array" ref="O876">_xlfn.IFS(OR($K876="Ghana", $K876="Nigeria"), "Anglophone", OR($K876="Togo", $K876="Benin", $K876="Senegal"), "Francophone")</f>
        <v>Francophone</v>
      </c>
      <c r="P876" s="1" t="str">
        <f>LEFT(Int_breweries[[#This Row],[MONTHS]], 3)</f>
        <v>Nov</v>
      </c>
    </row>
    <row r="877" spans="1:16" ht="12.5" x14ac:dyDescent="0.25">
      <c r="A877" s="1">
        <v>10976</v>
      </c>
      <c r="B877" s="1" t="s">
        <v>45</v>
      </c>
      <c r="C877" s="1" t="s">
        <v>46</v>
      </c>
      <c r="D877" t="s">
        <v>63</v>
      </c>
      <c r="E877" s="1">
        <v>150</v>
      </c>
      <c r="F877" s="1">
        <v>200</v>
      </c>
      <c r="G877" s="1">
        <v>927</v>
      </c>
      <c r="H877" s="1">
        <f>Int_breweries[[#This Row],[PLANT_COST]]*Int_breweries[[#This Row],[QUANTITY]]</f>
        <v>139050</v>
      </c>
      <c r="I877" s="1">
        <v>185400</v>
      </c>
      <c r="J877" s="1">
        <v>46350</v>
      </c>
      <c r="K877" s="1" t="s">
        <v>14</v>
      </c>
      <c r="L877" t="s">
        <v>60</v>
      </c>
      <c r="M877" s="1" t="s">
        <v>48</v>
      </c>
      <c r="N877" s="1">
        <v>2019</v>
      </c>
      <c r="O877" t="str" cm="1">
        <f t="array" ref="O877">_xlfn.IFS(OR($K877="Ghana", $K877="Nigeria"), "Anglophone", OR($K877="Togo", $K877="Benin", $K877="Senegal"), "Francophone")</f>
        <v>Anglophone</v>
      </c>
      <c r="P877" s="1" t="str">
        <f>LEFT(Int_breweries[[#This Row],[MONTHS]], 3)</f>
        <v>Dec</v>
      </c>
    </row>
    <row r="878" spans="1:16" ht="12.5" x14ac:dyDescent="0.25">
      <c r="A878" s="1">
        <v>10977</v>
      </c>
      <c r="B878" s="1" t="s">
        <v>17</v>
      </c>
      <c r="C878" s="1" t="s">
        <v>18</v>
      </c>
      <c r="D878" t="s">
        <v>64</v>
      </c>
      <c r="E878" s="1">
        <v>250</v>
      </c>
      <c r="F878" s="1">
        <v>500</v>
      </c>
      <c r="G878" s="1">
        <v>919</v>
      </c>
      <c r="H878" s="1">
        <f>Int_breweries[[#This Row],[PLANT_COST]]*Int_breweries[[#This Row],[QUANTITY]]</f>
        <v>229750</v>
      </c>
      <c r="I878" s="1">
        <v>459500</v>
      </c>
      <c r="J878" s="1">
        <v>229750</v>
      </c>
      <c r="K878" s="1" t="s">
        <v>19</v>
      </c>
      <c r="L878" t="s">
        <v>61</v>
      </c>
      <c r="M878" s="1" t="s">
        <v>16</v>
      </c>
      <c r="N878" s="1">
        <v>2019</v>
      </c>
      <c r="O878" t="str" cm="1">
        <f t="array" ref="O878">_xlfn.IFS(OR($K878="Ghana", $K878="Nigeria"), "Anglophone", OR($K878="Togo", $K878="Benin", $K878="Senegal"), "Francophone")</f>
        <v>Anglophone</v>
      </c>
      <c r="P878" s="1" t="str">
        <f>LEFT(Int_breweries[[#This Row],[MONTHS]], 3)</f>
        <v>Jan</v>
      </c>
    </row>
    <row r="879" spans="1:16" ht="12.5" x14ac:dyDescent="0.25">
      <c r="A879" s="1">
        <v>10978</v>
      </c>
      <c r="B879" s="1" t="s">
        <v>49</v>
      </c>
      <c r="C879" s="1" t="s">
        <v>50</v>
      </c>
      <c r="D879" t="s">
        <v>65</v>
      </c>
      <c r="E879" s="1">
        <v>180</v>
      </c>
      <c r="F879" s="1">
        <v>450</v>
      </c>
      <c r="G879" s="1">
        <v>830</v>
      </c>
      <c r="H879" s="1">
        <f>Int_breweries[[#This Row],[PLANT_COST]]*Int_breweries[[#This Row],[QUANTITY]]</f>
        <v>149400</v>
      </c>
      <c r="I879" s="1">
        <v>373500</v>
      </c>
      <c r="J879" s="1">
        <v>224100</v>
      </c>
      <c r="K879" s="1" t="s">
        <v>24</v>
      </c>
      <c r="L879" t="s">
        <v>62</v>
      </c>
      <c r="M879" s="1" t="s">
        <v>21</v>
      </c>
      <c r="N879" s="1">
        <v>2018</v>
      </c>
      <c r="O879" t="str" cm="1">
        <f t="array" ref="O879">_xlfn.IFS(OR($K879="Ghana", $K879="Nigeria"), "Anglophone", OR($K879="Togo", $K879="Benin", $K879="Senegal"), "Francophone")</f>
        <v>Francophone</v>
      </c>
      <c r="P879" s="1" t="str">
        <f>LEFT(Int_breweries[[#This Row],[MONTHS]], 3)</f>
        <v>Feb</v>
      </c>
    </row>
    <row r="880" spans="1:16" ht="12.5" x14ac:dyDescent="0.25">
      <c r="A880" s="1">
        <v>10979</v>
      </c>
      <c r="B880" s="1" t="s">
        <v>26</v>
      </c>
      <c r="C880" s="1" t="s">
        <v>27</v>
      </c>
      <c r="D880" t="s">
        <v>66</v>
      </c>
      <c r="E880" s="1">
        <v>170</v>
      </c>
      <c r="F880" s="1">
        <v>250</v>
      </c>
      <c r="G880" s="1">
        <v>874</v>
      </c>
      <c r="H880" s="1">
        <f>Int_breweries[[#This Row],[PLANT_COST]]*Int_breweries[[#This Row],[QUANTITY]]</f>
        <v>148580</v>
      </c>
      <c r="I880" s="1">
        <v>218500</v>
      </c>
      <c r="J880" s="1">
        <v>69920</v>
      </c>
      <c r="K880" s="1" t="s">
        <v>28</v>
      </c>
      <c r="L880" t="s">
        <v>15</v>
      </c>
      <c r="M880" s="1" t="s">
        <v>25</v>
      </c>
      <c r="N880" s="1">
        <v>2018</v>
      </c>
      <c r="O880" t="str" cm="1">
        <f t="array" ref="O880">_xlfn.IFS(OR($K880="Ghana", $K880="Nigeria"), "Anglophone", OR($K880="Togo", $K880="Benin", $K880="Senegal"), "Francophone")</f>
        <v>Francophone</v>
      </c>
      <c r="P880" s="1" t="str">
        <f>LEFT(Int_breweries[[#This Row],[MONTHS]], 3)</f>
        <v>Mar</v>
      </c>
    </row>
    <row r="881" spans="1:16" ht="12.5" x14ac:dyDescent="0.25">
      <c r="A881" s="1">
        <v>10980</v>
      </c>
      <c r="B881" s="1" t="s">
        <v>22</v>
      </c>
      <c r="C881" s="1" t="s">
        <v>23</v>
      </c>
      <c r="D881" t="s">
        <v>67</v>
      </c>
      <c r="E881" s="1">
        <v>150</v>
      </c>
      <c r="F881" s="1">
        <v>200</v>
      </c>
      <c r="G881" s="1">
        <v>954</v>
      </c>
      <c r="H881" s="1">
        <f>Int_breweries[[#This Row],[PLANT_COST]]*Int_breweries[[#This Row],[QUANTITY]]</f>
        <v>143100</v>
      </c>
      <c r="I881" s="1">
        <v>190800</v>
      </c>
      <c r="J881" s="1">
        <v>47700</v>
      </c>
      <c r="K881" s="1" t="s">
        <v>32</v>
      </c>
      <c r="L881" t="s">
        <v>58</v>
      </c>
      <c r="M881" s="1" t="s">
        <v>29</v>
      </c>
      <c r="N881" s="1">
        <v>2017</v>
      </c>
      <c r="O881" t="str" cm="1">
        <f t="array" ref="O881">_xlfn.IFS(OR($K881="Ghana", $K881="Nigeria"), "Anglophone", OR($K881="Togo", $K881="Benin", $K881="Senegal"), "Francophone")</f>
        <v>Francophone</v>
      </c>
      <c r="P881" s="1" t="str">
        <f>LEFT(Int_breweries[[#This Row],[MONTHS]], 3)</f>
        <v>Apr</v>
      </c>
    </row>
    <row r="882" spans="1:16" ht="12.5" x14ac:dyDescent="0.25">
      <c r="A882" s="1">
        <v>10981</v>
      </c>
      <c r="B882" s="1" t="s">
        <v>12</v>
      </c>
      <c r="C882" s="1" t="s">
        <v>13</v>
      </c>
      <c r="D882" t="s">
        <v>68</v>
      </c>
      <c r="E882" s="1">
        <v>80</v>
      </c>
      <c r="F882" s="1">
        <v>150</v>
      </c>
      <c r="G882" s="1">
        <v>919</v>
      </c>
      <c r="H882" s="1">
        <f>Int_breweries[[#This Row],[PLANT_COST]]*Int_breweries[[#This Row],[QUANTITY]]</f>
        <v>73520</v>
      </c>
      <c r="I882" s="1">
        <v>137850</v>
      </c>
      <c r="J882" s="1">
        <v>64330</v>
      </c>
      <c r="K882" s="1" t="s">
        <v>14</v>
      </c>
      <c r="L882" t="s">
        <v>59</v>
      </c>
      <c r="M882" s="1" t="s">
        <v>33</v>
      </c>
      <c r="N882" s="1">
        <v>2017</v>
      </c>
      <c r="O882" t="str" cm="1">
        <f t="array" ref="O882">_xlfn.IFS(OR($K882="Ghana", $K882="Nigeria"), "Anglophone", OR($K882="Togo", $K882="Benin", $K882="Senegal"), "Francophone")</f>
        <v>Anglophone</v>
      </c>
      <c r="P882" s="1" t="str">
        <f>LEFT(Int_breweries[[#This Row],[MONTHS]], 3)</f>
        <v>May</v>
      </c>
    </row>
    <row r="883" spans="1:16" ht="12.5" x14ac:dyDescent="0.25">
      <c r="A883" s="1">
        <v>10982</v>
      </c>
      <c r="B883" s="1" t="s">
        <v>30</v>
      </c>
      <c r="C883" s="1" t="s">
        <v>31</v>
      </c>
      <c r="D883" t="s">
        <v>69</v>
      </c>
      <c r="E883" s="1">
        <v>90</v>
      </c>
      <c r="F883" s="1">
        <v>150</v>
      </c>
      <c r="G883" s="1">
        <v>796</v>
      </c>
      <c r="H883" s="1">
        <f>Int_breweries[[#This Row],[PLANT_COST]]*Int_breweries[[#This Row],[QUANTITY]]</f>
        <v>71640</v>
      </c>
      <c r="I883" s="1">
        <v>119400</v>
      </c>
      <c r="J883" s="1">
        <v>47760</v>
      </c>
      <c r="K883" s="1" t="s">
        <v>19</v>
      </c>
      <c r="L883" t="s">
        <v>60</v>
      </c>
      <c r="M883" s="1" t="s">
        <v>34</v>
      </c>
      <c r="N883" s="1">
        <v>2017</v>
      </c>
      <c r="O883" t="str" cm="1">
        <f t="array" ref="O883">_xlfn.IFS(OR($K883="Ghana", $K883="Nigeria"), "Anglophone", OR($K883="Togo", $K883="Benin", $K883="Senegal"), "Francophone")</f>
        <v>Anglophone</v>
      </c>
      <c r="P883" s="1" t="str">
        <f>LEFT(Int_breweries[[#This Row],[MONTHS]], 3)</f>
        <v>Jun</v>
      </c>
    </row>
    <row r="884" spans="1:16" ht="12.5" x14ac:dyDescent="0.25">
      <c r="A884" s="1">
        <v>10983</v>
      </c>
      <c r="B884" s="1" t="s">
        <v>42</v>
      </c>
      <c r="C884" s="1" t="s">
        <v>43</v>
      </c>
      <c r="D884" t="s">
        <v>63</v>
      </c>
      <c r="E884" s="1">
        <v>150</v>
      </c>
      <c r="F884" s="1">
        <v>200</v>
      </c>
      <c r="G884" s="1">
        <v>773</v>
      </c>
      <c r="H884" s="1">
        <f>Int_breweries[[#This Row],[PLANT_COST]]*Int_breweries[[#This Row],[QUANTITY]]</f>
        <v>115950</v>
      </c>
      <c r="I884" s="1">
        <v>154600</v>
      </c>
      <c r="J884" s="1">
        <v>38650</v>
      </c>
      <c r="K884" s="1" t="s">
        <v>24</v>
      </c>
      <c r="L884" t="s">
        <v>61</v>
      </c>
      <c r="M884" s="1" t="s">
        <v>37</v>
      </c>
      <c r="N884" s="1">
        <v>2017</v>
      </c>
      <c r="O884" t="str" cm="1">
        <f t="array" ref="O884">_xlfn.IFS(OR($K884="Ghana", $K884="Nigeria"), "Anglophone", OR($K884="Togo", $K884="Benin", $K884="Senegal"), "Francophone")</f>
        <v>Francophone</v>
      </c>
      <c r="P884" s="1" t="str">
        <f>LEFT(Int_breweries[[#This Row],[MONTHS]], 3)</f>
        <v>Jul</v>
      </c>
    </row>
    <row r="885" spans="1:16" ht="12.5" x14ac:dyDescent="0.25">
      <c r="A885" s="1">
        <v>10984</v>
      </c>
      <c r="B885" s="1" t="s">
        <v>17</v>
      </c>
      <c r="C885" s="1" t="s">
        <v>18</v>
      </c>
      <c r="D885" t="s">
        <v>64</v>
      </c>
      <c r="E885" s="1">
        <v>250</v>
      </c>
      <c r="F885" s="1">
        <v>500</v>
      </c>
      <c r="G885" s="1">
        <v>891</v>
      </c>
      <c r="H885" s="1">
        <f>Int_breweries[[#This Row],[PLANT_COST]]*Int_breweries[[#This Row],[QUANTITY]]</f>
        <v>222750</v>
      </c>
      <c r="I885" s="1">
        <v>445500</v>
      </c>
      <c r="J885" s="1">
        <v>222750</v>
      </c>
      <c r="K885" s="1" t="s">
        <v>28</v>
      </c>
      <c r="L885" t="s">
        <v>62</v>
      </c>
      <c r="M885" s="1" t="s">
        <v>38</v>
      </c>
      <c r="N885" s="1">
        <v>2018</v>
      </c>
      <c r="O885" t="str" cm="1">
        <f t="array" ref="O885">_xlfn.IFS(OR($K885="Ghana", $K885="Nigeria"), "Anglophone", OR($K885="Togo", $K885="Benin", $K885="Senegal"), "Francophone")</f>
        <v>Francophone</v>
      </c>
      <c r="P885" s="1" t="str">
        <f>LEFT(Int_breweries[[#This Row],[MONTHS]], 3)</f>
        <v>Aug</v>
      </c>
    </row>
    <row r="886" spans="1:16" ht="12.5" x14ac:dyDescent="0.25">
      <c r="A886" s="1">
        <v>10985</v>
      </c>
      <c r="B886" s="1" t="s">
        <v>17</v>
      </c>
      <c r="C886" s="1" t="s">
        <v>18</v>
      </c>
      <c r="D886" t="s">
        <v>65</v>
      </c>
      <c r="E886" s="1">
        <v>180</v>
      </c>
      <c r="F886" s="1">
        <v>450</v>
      </c>
      <c r="G886" s="1">
        <v>778</v>
      </c>
      <c r="H886" s="1">
        <f>Int_breweries[[#This Row],[PLANT_COST]]*Int_breweries[[#This Row],[QUANTITY]]</f>
        <v>140040</v>
      </c>
      <c r="I886" s="1">
        <v>350100</v>
      </c>
      <c r="J886" s="1">
        <v>210060</v>
      </c>
      <c r="K886" s="1" t="s">
        <v>32</v>
      </c>
      <c r="L886" t="s">
        <v>15</v>
      </c>
      <c r="M886" s="1" t="s">
        <v>41</v>
      </c>
      <c r="N886" s="1">
        <v>2017</v>
      </c>
      <c r="O886" t="str" cm="1">
        <f t="array" ref="O886">_xlfn.IFS(OR($K886="Ghana", $K886="Nigeria"), "Anglophone", OR($K886="Togo", $K886="Benin", $K886="Senegal"), "Francophone")</f>
        <v>Francophone</v>
      </c>
      <c r="P886" s="1" t="str">
        <f>LEFT(Int_breweries[[#This Row],[MONTHS]], 3)</f>
        <v>Sep</v>
      </c>
    </row>
    <row r="887" spans="1:16" ht="12.5" x14ac:dyDescent="0.25">
      <c r="A887" s="1">
        <v>10986</v>
      </c>
      <c r="B887" s="1" t="s">
        <v>51</v>
      </c>
      <c r="C887" s="1" t="s">
        <v>52</v>
      </c>
      <c r="D887" t="s">
        <v>66</v>
      </c>
      <c r="E887" s="1">
        <v>170</v>
      </c>
      <c r="F887" s="1">
        <v>250</v>
      </c>
      <c r="G887" s="1">
        <v>950</v>
      </c>
      <c r="H887" s="1">
        <f>Int_breweries[[#This Row],[PLANT_COST]]*Int_breweries[[#This Row],[QUANTITY]]</f>
        <v>161500</v>
      </c>
      <c r="I887" s="1">
        <v>237500</v>
      </c>
      <c r="J887" s="1">
        <v>76000</v>
      </c>
      <c r="K887" s="1" t="s">
        <v>14</v>
      </c>
      <c r="L887" t="s">
        <v>58</v>
      </c>
      <c r="M887" s="1" t="s">
        <v>44</v>
      </c>
      <c r="N887" s="1">
        <v>2018</v>
      </c>
      <c r="O887" t="str" cm="1">
        <f t="array" ref="O887">_xlfn.IFS(OR($K887="Ghana", $K887="Nigeria"), "Anglophone", OR($K887="Togo", $K887="Benin", $K887="Senegal"), "Francophone")</f>
        <v>Anglophone</v>
      </c>
      <c r="P887" s="1" t="str">
        <f>LEFT(Int_breweries[[#This Row],[MONTHS]], 3)</f>
        <v>Oct</v>
      </c>
    </row>
    <row r="888" spans="1:16" ht="12.5" x14ac:dyDescent="0.25">
      <c r="A888" s="1">
        <v>10987</v>
      </c>
      <c r="B888" s="1" t="s">
        <v>26</v>
      </c>
      <c r="C888" s="1" t="s">
        <v>27</v>
      </c>
      <c r="D888" t="s">
        <v>67</v>
      </c>
      <c r="E888" s="1">
        <v>150</v>
      </c>
      <c r="F888" s="1">
        <v>200</v>
      </c>
      <c r="G888" s="1">
        <v>840</v>
      </c>
      <c r="H888" s="1">
        <f>Int_breweries[[#This Row],[PLANT_COST]]*Int_breweries[[#This Row],[QUANTITY]]</f>
        <v>126000</v>
      </c>
      <c r="I888" s="1">
        <v>168000</v>
      </c>
      <c r="J888" s="1">
        <v>42000</v>
      </c>
      <c r="K888" s="1" t="s">
        <v>19</v>
      </c>
      <c r="L888" t="s">
        <v>59</v>
      </c>
      <c r="M888" s="1" t="s">
        <v>47</v>
      </c>
      <c r="N888" s="1">
        <v>2017</v>
      </c>
      <c r="O888" t="str" cm="1">
        <f t="array" ref="O888">_xlfn.IFS(OR($K888="Ghana", $K888="Nigeria"), "Anglophone", OR($K888="Togo", $K888="Benin", $K888="Senegal"), "Francophone")</f>
        <v>Anglophone</v>
      </c>
      <c r="P888" s="1" t="str">
        <f>LEFT(Int_breweries[[#This Row],[MONTHS]], 3)</f>
        <v>Nov</v>
      </c>
    </row>
    <row r="889" spans="1:16" ht="12.5" x14ac:dyDescent="0.25">
      <c r="A889" s="1">
        <v>10988</v>
      </c>
      <c r="B889" s="1" t="s">
        <v>39</v>
      </c>
      <c r="C889" s="1" t="s">
        <v>40</v>
      </c>
      <c r="D889" t="s">
        <v>68</v>
      </c>
      <c r="E889" s="1">
        <v>80</v>
      </c>
      <c r="F889" s="1">
        <v>150</v>
      </c>
      <c r="G889" s="1">
        <v>821</v>
      </c>
      <c r="H889" s="1">
        <f>Int_breweries[[#This Row],[PLANT_COST]]*Int_breweries[[#This Row],[QUANTITY]]</f>
        <v>65680</v>
      </c>
      <c r="I889" s="1">
        <v>123150</v>
      </c>
      <c r="J889" s="1">
        <v>57470</v>
      </c>
      <c r="K889" s="1" t="s">
        <v>24</v>
      </c>
      <c r="L889" t="s">
        <v>60</v>
      </c>
      <c r="M889" s="1" t="s">
        <v>48</v>
      </c>
      <c r="N889" s="1">
        <v>2017</v>
      </c>
      <c r="O889" t="str" cm="1">
        <f t="array" ref="O889">_xlfn.IFS(OR($K889="Ghana", $K889="Nigeria"), "Anglophone", OR($K889="Togo", $K889="Benin", $K889="Senegal"), "Francophone")</f>
        <v>Francophone</v>
      </c>
      <c r="P889" s="1" t="str">
        <f>LEFT(Int_breweries[[#This Row],[MONTHS]], 3)</f>
        <v>Dec</v>
      </c>
    </row>
    <row r="890" spans="1:16" ht="12.5" x14ac:dyDescent="0.25">
      <c r="A890" s="1">
        <v>10989</v>
      </c>
      <c r="B890" s="1" t="s">
        <v>51</v>
      </c>
      <c r="C890" s="1" t="s">
        <v>52</v>
      </c>
      <c r="D890" t="s">
        <v>69</v>
      </c>
      <c r="E890" s="1">
        <v>90</v>
      </c>
      <c r="F890" s="1">
        <v>150</v>
      </c>
      <c r="G890" s="1">
        <v>720</v>
      </c>
      <c r="H890" s="1">
        <f>Int_breweries[[#This Row],[PLANT_COST]]*Int_breweries[[#This Row],[QUANTITY]]</f>
        <v>64800</v>
      </c>
      <c r="I890" s="1">
        <v>108000</v>
      </c>
      <c r="J890" s="1">
        <v>43200</v>
      </c>
      <c r="K890" s="1" t="s">
        <v>28</v>
      </c>
      <c r="L890" t="s">
        <v>61</v>
      </c>
      <c r="M890" s="1" t="s">
        <v>16</v>
      </c>
      <c r="N890" s="1">
        <v>2017</v>
      </c>
      <c r="O890" t="str" cm="1">
        <f t="array" ref="O890">_xlfn.IFS(OR($K890="Ghana", $K890="Nigeria"), "Anglophone", OR($K890="Togo", $K890="Benin", $K890="Senegal"), "Francophone")</f>
        <v>Francophone</v>
      </c>
      <c r="P890" s="1" t="str">
        <f>LEFT(Int_breweries[[#This Row],[MONTHS]], 3)</f>
        <v>Jan</v>
      </c>
    </row>
    <row r="891" spans="1:16" ht="12.5" x14ac:dyDescent="0.25">
      <c r="A891" s="1">
        <v>10990</v>
      </c>
      <c r="B891" s="1" t="s">
        <v>22</v>
      </c>
      <c r="C891" s="1" t="s">
        <v>23</v>
      </c>
      <c r="D891" t="s">
        <v>63</v>
      </c>
      <c r="E891" s="1">
        <v>150</v>
      </c>
      <c r="F891" s="1">
        <v>200</v>
      </c>
      <c r="G891" s="1">
        <v>706</v>
      </c>
      <c r="H891" s="1">
        <f>Int_breweries[[#This Row],[PLANT_COST]]*Int_breweries[[#This Row],[QUANTITY]]</f>
        <v>105900</v>
      </c>
      <c r="I891" s="1">
        <v>141200</v>
      </c>
      <c r="J891" s="1">
        <v>35300</v>
      </c>
      <c r="K891" s="1" t="s">
        <v>32</v>
      </c>
      <c r="L891" t="s">
        <v>62</v>
      </c>
      <c r="M891" s="1" t="s">
        <v>21</v>
      </c>
      <c r="N891" s="1">
        <v>2019</v>
      </c>
      <c r="O891" t="str" cm="1">
        <f t="array" ref="O891">_xlfn.IFS(OR($K891="Ghana", $K891="Nigeria"), "Anglophone", OR($K891="Togo", $K891="Benin", $K891="Senegal"), "Francophone")</f>
        <v>Francophone</v>
      </c>
      <c r="P891" s="1" t="str">
        <f>LEFT(Int_breweries[[#This Row],[MONTHS]], 3)</f>
        <v>Feb</v>
      </c>
    </row>
    <row r="892" spans="1:16" ht="12.5" x14ac:dyDescent="0.25">
      <c r="A892" s="1">
        <v>10991</v>
      </c>
      <c r="B892" s="1" t="s">
        <v>17</v>
      </c>
      <c r="C892" s="1" t="s">
        <v>18</v>
      </c>
      <c r="D892" t="s">
        <v>64</v>
      </c>
      <c r="E892" s="1">
        <v>250</v>
      </c>
      <c r="F892" s="1">
        <v>500</v>
      </c>
      <c r="G892" s="1">
        <v>827</v>
      </c>
      <c r="H892" s="1">
        <f>Int_breweries[[#This Row],[PLANT_COST]]*Int_breweries[[#This Row],[QUANTITY]]</f>
        <v>206750</v>
      </c>
      <c r="I892" s="1">
        <v>413500</v>
      </c>
      <c r="J892" s="1">
        <v>206750</v>
      </c>
      <c r="K892" s="1" t="s">
        <v>14</v>
      </c>
      <c r="L892" t="s">
        <v>15</v>
      </c>
      <c r="M892" s="1" t="s">
        <v>25</v>
      </c>
      <c r="N892" s="1">
        <v>2018</v>
      </c>
      <c r="O892" t="str" cm="1">
        <f t="array" ref="O892">_xlfn.IFS(OR($K892="Ghana", $K892="Nigeria"), "Anglophone", OR($K892="Togo", $K892="Benin", $K892="Senegal"), "Francophone")</f>
        <v>Anglophone</v>
      </c>
      <c r="P892" s="1" t="str">
        <f>LEFT(Int_breweries[[#This Row],[MONTHS]], 3)</f>
        <v>Mar</v>
      </c>
    </row>
    <row r="893" spans="1:16" ht="12.5" x14ac:dyDescent="0.25">
      <c r="A893" s="1">
        <v>10992</v>
      </c>
      <c r="B893" s="1" t="s">
        <v>22</v>
      </c>
      <c r="C893" s="1" t="s">
        <v>23</v>
      </c>
      <c r="D893" t="s">
        <v>65</v>
      </c>
      <c r="E893" s="1">
        <v>180</v>
      </c>
      <c r="F893" s="1">
        <v>450</v>
      </c>
      <c r="G893" s="1">
        <v>792</v>
      </c>
      <c r="H893" s="1">
        <f>Int_breweries[[#This Row],[PLANT_COST]]*Int_breweries[[#This Row],[QUANTITY]]</f>
        <v>142560</v>
      </c>
      <c r="I893" s="1">
        <v>356400</v>
      </c>
      <c r="J893" s="1">
        <v>213840</v>
      </c>
      <c r="K893" s="1" t="s">
        <v>19</v>
      </c>
      <c r="L893" t="s">
        <v>58</v>
      </c>
      <c r="M893" s="1" t="s">
        <v>29</v>
      </c>
      <c r="N893" s="1">
        <v>2017</v>
      </c>
      <c r="O893" t="str" cm="1">
        <f t="array" ref="O893">_xlfn.IFS(OR($K893="Ghana", $K893="Nigeria"), "Anglophone", OR($K893="Togo", $K893="Benin", $K893="Senegal"), "Francophone")</f>
        <v>Anglophone</v>
      </c>
      <c r="P893" s="1" t="str">
        <f>LEFT(Int_breweries[[#This Row],[MONTHS]], 3)</f>
        <v>Apr</v>
      </c>
    </row>
    <row r="894" spans="1:16" ht="12.5" x14ac:dyDescent="0.25">
      <c r="A894" s="1">
        <v>10993</v>
      </c>
      <c r="B894" s="1" t="s">
        <v>35</v>
      </c>
      <c r="C894" s="1" t="s">
        <v>36</v>
      </c>
      <c r="D894" t="s">
        <v>66</v>
      </c>
      <c r="E894" s="1">
        <v>170</v>
      </c>
      <c r="F894" s="1">
        <v>250</v>
      </c>
      <c r="G894" s="1">
        <v>885</v>
      </c>
      <c r="H894" s="1">
        <f>Int_breweries[[#This Row],[PLANT_COST]]*Int_breweries[[#This Row],[QUANTITY]]</f>
        <v>150450</v>
      </c>
      <c r="I894" s="1">
        <v>221250</v>
      </c>
      <c r="J894" s="1">
        <v>70800</v>
      </c>
      <c r="K894" s="1" t="s">
        <v>24</v>
      </c>
      <c r="L894" t="s">
        <v>59</v>
      </c>
      <c r="M894" s="1" t="s">
        <v>33</v>
      </c>
      <c r="N894" s="1">
        <v>2017</v>
      </c>
      <c r="O894" t="str" cm="1">
        <f t="array" ref="O894">_xlfn.IFS(OR($K894="Ghana", $K894="Nigeria"), "Anglophone", OR($K894="Togo", $K894="Benin", $K894="Senegal"), "Francophone")</f>
        <v>Francophone</v>
      </c>
      <c r="P894" s="1" t="str">
        <f>LEFT(Int_breweries[[#This Row],[MONTHS]], 3)</f>
        <v>May</v>
      </c>
    </row>
    <row r="895" spans="1:16" ht="12.5" x14ac:dyDescent="0.25">
      <c r="A895" s="1">
        <v>10994</v>
      </c>
      <c r="B895" s="1" t="s">
        <v>30</v>
      </c>
      <c r="C895" s="1" t="s">
        <v>31</v>
      </c>
      <c r="D895" t="s">
        <v>67</v>
      </c>
      <c r="E895" s="1">
        <v>150</v>
      </c>
      <c r="F895" s="1">
        <v>200</v>
      </c>
      <c r="G895" s="1">
        <v>973</v>
      </c>
      <c r="H895" s="1">
        <f>Int_breweries[[#This Row],[PLANT_COST]]*Int_breweries[[#This Row],[QUANTITY]]</f>
        <v>145950</v>
      </c>
      <c r="I895" s="1">
        <v>194600</v>
      </c>
      <c r="J895" s="1">
        <v>48650</v>
      </c>
      <c r="K895" s="1" t="s">
        <v>28</v>
      </c>
      <c r="L895" t="s">
        <v>60</v>
      </c>
      <c r="M895" s="1" t="s">
        <v>34</v>
      </c>
      <c r="N895" s="1">
        <v>2019</v>
      </c>
      <c r="O895" t="str" cm="1">
        <f t="array" ref="O895">_xlfn.IFS(OR($K895="Ghana", $K895="Nigeria"), "Anglophone", OR($K895="Togo", $K895="Benin", $K895="Senegal"), "Francophone")</f>
        <v>Francophone</v>
      </c>
      <c r="P895" s="1" t="str">
        <f>LEFT(Int_breweries[[#This Row],[MONTHS]], 3)</f>
        <v>Jun</v>
      </c>
    </row>
    <row r="896" spans="1:16" ht="12.5" x14ac:dyDescent="0.25">
      <c r="A896" s="1">
        <v>10995</v>
      </c>
      <c r="B896" s="1" t="s">
        <v>12</v>
      </c>
      <c r="C896" s="1" t="s">
        <v>13</v>
      </c>
      <c r="D896" t="s">
        <v>68</v>
      </c>
      <c r="E896" s="1">
        <v>80</v>
      </c>
      <c r="F896" s="1">
        <v>150</v>
      </c>
      <c r="G896" s="1">
        <v>977</v>
      </c>
      <c r="H896" s="1">
        <f>Int_breweries[[#This Row],[PLANT_COST]]*Int_breweries[[#This Row],[QUANTITY]]</f>
        <v>78160</v>
      </c>
      <c r="I896" s="1">
        <v>146550</v>
      </c>
      <c r="J896" s="1">
        <v>68390</v>
      </c>
      <c r="K896" s="1" t="s">
        <v>32</v>
      </c>
      <c r="L896" t="s">
        <v>61</v>
      </c>
      <c r="M896" s="1" t="s">
        <v>37</v>
      </c>
      <c r="N896" s="1">
        <v>2017</v>
      </c>
      <c r="O896" t="str" cm="1">
        <f t="array" ref="O896">_xlfn.IFS(OR($K896="Ghana", $K896="Nigeria"), "Anglophone", OR($K896="Togo", $K896="Benin", $K896="Senegal"), "Francophone")</f>
        <v>Francophone</v>
      </c>
      <c r="P896" s="1" t="str">
        <f>LEFT(Int_breweries[[#This Row],[MONTHS]], 3)</f>
        <v>Jul</v>
      </c>
    </row>
    <row r="897" spans="1:16" ht="12.5" x14ac:dyDescent="0.25">
      <c r="A897" s="1">
        <v>10996</v>
      </c>
      <c r="B897" s="1" t="s">
        <v>12</v>
      </c>
      <c r="C897" s="1" t="s">
        <v>13</v>
      </c>
      <c r="D897" t="s">
        <v>69</v>
      </c>
      <c r="E897" s="1">
        <v>90</v>
      </c>
      <c r="F897" s="1">
        <v>150</v>
      </c>
      <c r="G897" s="1">
        <v>873</v>
      </c>
      <c r="H897" s="1">
        <f>Int_breweries[[#This Row],[PLANT_COST]]*Int_breweries[[#This Row],[QUANTITY]]</f>
        <v>78570</v>
      </c>
      <c r="I897" s="1">
        <v>130950</v>
      </c>
      <c r="J897" s="1">
        <v>52380</v>
      </c>
      <c r="K897" s="1" t="s">
        <v>14</v>
      </c>
      <c r="L897" t="s">
        <v>62</v>
      </c>
      <c r="M897" s="1" t="s">
        <v>38</v>
      </c>
      <c r="N897" s="1">
        <v>2019</v>
      </c>
      <c r="O897" t="str" cm="1">
        <f t="array" ref="O897">_xlfn.IFS(OR($K897="Ghana", $K897="Nigeria"), "Anglophone", OR($K897="Togo", $K897="Benin", $K897="Senegal"), "Francophone")</f>
        <v>Anglophone</v>
      </c>
      <c r="P897" s="1" t="str">
        <f>LEFT(Int_breweries[[#This Row],[MONTHS]], 3)</f>
        <v>Aug</v>
      </c>
    </row>
    <row r="898" spans="1:16" ht="12.5" x14ac:dyDescent="0.25">
      <c r="A898" s="1">
        <v>10997</v>
      </c>
      <c r="B898" s="1" t="s">
        <v>30</v>
      </c>
      <c r="C898" s="1" t="s">
        <v>31</v>
      </c>
      <c r="D898" t="s">
        <v>63</v>
      </c>
      <c r="E898" s="1">
        <v>150</v>
      </c>
      <c r="F898" s="1">
        <v>200</v>
      </c>
      <c r="G898" s="1">
        <v>932</v>
      </c>
      <c r="H898" s="1">
        <f>Int_breweries[[#This Row],[PLANT_COST]]*Int_breweries[[#This Row],[QUANTITY]]</f>
        <v>139800</v>
      </c>
      <c r="I898" s="1">
        <v>186400</v>
      </c>
      <c r="J898" s="1">
        <v>46600</v>
      </c>
      <c r="K898" s="1" t="s">
        <v>19</v>
      </c>
      <c r="L898" t="s">
        <v>15</v>
      </c>
      <c r="M898" s="1" t="s">
        <v>41</v>
      </c>
      <c r="N898" s="1">
        <v>2017</v>
      </c>
      <c r="O898" t="str" cm="1">
        <f t="array" ref="O898">_xlfn.IFS(OR($K898="Ghana", $K898="Nigeria"), "Anglophone", OR($K898="Togo", $K898="Benin", $K898="Senegal"), "Francophone")</f>
        <v>Anglophone</v>
      </c>
      <c r="P898" s="1" t="str">
        <f>LEFT(Int_breweries[[#This Row],[MONTHS]], 3)</f>
        <v>Sep</v>
      </c>
    </row>
    <row r="899" spans="1:16" ht="12.5" x14ac:dyDescent="0.25">
      <c r="A899" s="1">
        <v>10998</v>
      </c>
      <c r="B899" s="1" t="s">
        <v>12</v>
      </c>
      <c r="C899" s="1" t="s">
        <v>13</v>
      </c>
      <c r="D899" t="s">
        <v>64</v>
      </c>
      <c r="E899" s="1">
        <v>250</v>
      </c>
      <c r="F899" s="1">
        <v>500</v>
      </c>
      <c r="G899" s="1">
        <v>701</v>
      </c>
      <c r="H899" s="1">
        <f>Int_breweries[[#This Row],[PLANT_COST]]*Int_breweries[[#This Row],[QUANTITY]]</f>
        <v>175250</v>
      </c>
      <c r="I899" s="1">
        <v>350500</v>
      </c>
      <c r="J899" s="1">
        <v>175250</v>
      </c>
      <c r="K899" s="1" t="s">
        <v>24</v>
      </c>
      <c r="L899" t="s">
        <v>58</v>
      </c>
      <c r="M899" s="1" t="s">
        <v>44</v>
      </c>
      <c r="N899" s="1">
        <v>2018</v>
      </c>
      <c r="O899" t="str" cm="1">
        <f t="array" ref="O899">_xlfn.IFS(OR($K899="Ghana", $K899="Nigeria"), "Anglophone", OR($K899="Togo", $K899="Benin", $K899="Senegal"), "Francophone")</f>
        <v>Francophone</v>
      </c>
      <c r="P899" s="1" t="str">
        <f>LEFT(Int_breweries[[#This Row],[MONTHS]], 3)</f>
        <v>Oct</v>
      </c>
    </row>
    <row r="900" spans="1:16" ht="12.5" x14ac:dyDescent="0.25">
      <c r="A900" s="1">
        <v>10999</v>
      </c>
      <c r="B900" s="1" t="s">
        <v>17</v>
      </c>
      <c r="C900" s="1" t="s">
        <v>18</v>
      </c>
      <c r="D900" t="s">
        <v>65</v>
      </c>
      <c r="E900" s="1">
        <v>180</v>
      </c>
      <c r="F900" s="1">
        <v>450</v>
      </c>
      <c r="G900" s="1">
        <v>977</v>
      </c>
      <c r="H900" s="1">
        <f>Int_breweries[[#This Row],[PLANT_COST]]*Int_breweries[[#This Row],[QUANTITY]]</f>
        <v>175860</v>
      </c>
      <c r="I900" s="1">
        <v>439650</v>
      </c>
      <c r="J900" s="1">
        <v>263790</v>
      </c>
      <c r="K900" s="1" t="s">
        <v>28</v>
      </c>
      <c r="L900" t="s">
        <v>59</v>
      </c>
      <c r="M900" s="1" t="s">
        <v>47</v>
      </c>
      <c r="N900" s="1">
        <v>2017</v>
      </c>
      <c r="O900" t="str" cm="1">
        <f t="array" ref="O900">_xlfn.IFS(OR($K900="Ghana", $K900="Nigeria"), "Anglophone", OR($K900="Togo", $K900="Benin", $K900="Senegal"), "Francophone")</f>
        <v>Francophone</v>
      </c>
      <c r="P900" s="1" t="str">
        <f>LEFT(Int_breweries[[#This Row],[MONTHS]], 3)</f>
        <v>Nov</v>
      </c>
    </row>
    <row r="901" spans="1:16" ht="12.5" x14ac:dyDescent="0.25">
      <c r="A901" s="1">
        <v>11000</v>
      </c>
      <c r="B901" s="1" t="s">
        <v>22</v>
      </c>
      <c r="C901" s="1" t="s">
        <v>23</v>
      </c>
      <c r="D901" t="s">
        <v>66</v>
      </c>
      <c r="E901" s="1">
        <v>170</v>
      </c>
      <c r="F901" s="1">
        <v>250</v>
      </c>
      <c r="G901" s="1">
        <v>977</v>
      </c>
      <c r="H901" s="1">
        <f>Int_breweries[[#This Row],[PLANT_COST]]*Int_breweries[[#This Row],[QUANTITY]]</f>
        <v>166090</v>
      </c>
      <c r="I901" s="1">
        <v>244250</v>
      </c>
      <c r="J901" s="1">
        <v>78160</v>
      </c>
      <c r="K901" s="1" t="s">
        <v>32</v>
      </c>
      <c r="L901" t="s">
        <v>60</v>
      </c>
      <c r="M901" s="1" t="s">
        <v>48</v>
      </c>
      <c r="N901" s="1">
        <v>2017</v>
      </c>
      <c r="O901" t="str" cm="1">
        <f t="array" ref="O901">_xlfn.IFS(OR($K901="Ghana", $K901="Nigeria"), "Anglophone", OR($K901="Togo", $K901="Benin", $K901="Senegal"), "Francophone")</f>
        <v>Francophone</v>
      </c>
      <c r="P901" s="1" t="str">
        <f>LEFT(Int_breweries[[#This Row],[MONTHS]], 3)</f>
        <v>Dec</v>
      </c>
    </row>
    <row r="902" spans="1:16" ht="12.5" x14ac:dyDescent="0.25">
      <c r="A902" s="1">
        <v>11001</v>
      </c>
      <c r="B902" s="1" t="s">
        <v>26</v>
      </c>
      <c r="C902" s="1" t="s">
        <v>27</v>
      </c>
      <c r="D902" t="s">
        <v>67</v>
      </c>
      <c r="E902" s="1">
        <v>150</v>
      </c>
      <c r="F902" s="1">
        <v>200</v>
      </c>
      <c r="G902" s="1">
        <v>952</v>
      </c>
      <c r="H902" s="1">
        <f>Int_breweries[[#This Row],[PLANT_COST]]*Int_breweries[[#This Row],[QUANTITY]]</f>
        <v>142800</v>
      </c>
      <c r="I902" s="1">
        <v>190400</v>
      </c>
      <c r="J902" s="1">
        <v>47600</v>
      </c>
      <c r="K902" s="1" t="s">
        <v>14</v>
      </c>
      <c r="L902" t="s">
        <v>61</v>
      </c>
      <c r="M902" s="1" t="s">
        <v>16</v>
      </c>
      <c r="N902" s="1">
        <v>2019</v>
      </c>
      <c r="O902" t="str" cm="1">
        <f t="array" ref="O902">_xlfn.IFS(OR($K902="Ghana", $K902="Nigeria"), "Anglophone", OR($K902="Togo", $K902="Benin", $K902="Senegal"), "Francophone")</f>
        <v>Anglophone</v>
      </c>
      <c r="P902" s="1" t="str">
        <f>LEFT(Int_breweries[[#This Row],[MONTHS]], 3)</f>
        <v>Jan</v>
      </c>
    </row>
    <row r="903" spans="1:16" ht="12.5" x14ac:dyDescent="0.25">
      <c r="A903" s="1">
        <v>11002</v>
      </c>
      <c r="B903" s="1" t="s">
        <v>30</v>
      </c>
      <c r="C903" s="1" t="s">
        <v>31</v>
      </c>
      <c r="D903" t="s">
        <v>68</v>
      </c>
      <c r="E903" s="1">
        <v>80</v>
      </c>
      <c r="F903" s="1">
        <v>150</v>
      </c>
      <c r="G903" s="1">
        <v>750</v>
      </c>
      <c r="H903" s="1">
        <f>Int_breweries[[#This Row],[PLANT_COST]]*Int_breweries[[#This Row],[QUANTITY]]</f>
        <v>60000</v>
      </c>
      <c r="I903" s="1">
        <v>112500</v>
      </c>
      <c r="J903" s="1">
        <v>52500</v>
      </c>
      <c r="K903" s="1" t="s">
        <v>19</v>
      </c>
      <c r="L903" t="s">
        <v>62</v>
      </c>
      <c r="M903" s="1" t="s">
        <v>21</v>
      </c>
      <c r="N903" s="1">
        <v>2018</v>
      </c>
      <c r="O903" t="str" cm="1">
        <f t="array" ref="O903">_xlfn.IFS(OR($K903="Ghana", $K903="Nigeria"), "Anglophone", OR($K903="Togo", $K903="Benin", $K903="Senegal"), "Francophone")</f>
        <v>Anglophone</v>
      </c>
      <c r="P903" s="1" t="str">
        <f>LEFT(Int_breweries[[#This Row],[MONTHS]], 3)</f>
        <v>Feb</v>
      </c>
    </row>
    <row r="904" spans="1:16" ht="12.5" x14ac:dyDescent="0.25">
      <c r="A904" s="1">
        <v>11003</v>
      </c>
      <c r="B904" s="1" t="s">
        <v>12</v>
      </c>
      <c r="C904" s="1" t="s">
        <v>13</v>
      </c>
      <c r="D904" t="s">
        <v>69</v>
      </c>
      <c r="E904" s="1">
        <v>90</v>
      </c>
      <c r="F904" s="1">
        <v>150</v>
      </c>
      <c r="G904" s="1">
        <v>961</v>
      </c>
      <c r="H904" s="1">
        <f>Int_breweries[[#This Row],[PLANT_COST]]*Int_breweries[[#This Row],[QUANTITY]]</f>
        <v>86490</v>
      </c>
      <c r="I904" s="1">
        <v>144150</v>
      </c>
      <c r="J904" s="1">
        <v>57660</v>
      </c>
      <c r="K904" s="1" t="s">
        <v>24</v>
      </c>
      <c r="L904" t="s">
        <v>15</v>
      </c>
      <c r="M904" s="1" t="s">
        <v>25</v>
      </c>
      <c r="N904" s="1">
        <v>2017</v>
      </c>
      <c r="O904" t="str" cm="1">
        <f t="array" ref="O904">_xlfn.IFS(OR($K904="Ghana", $K904="Nigeria"), "Anglophone", OR($K904="Togo", $K904="Benin", $K904="Senegal"), "Francophone")</f>
        <v>Francophone</v>
      </c>
      <c r="P904" s="1" t="str">
        <f>LEFT(Int_breweries[[#This Row],[MONTHS]], 3)</f>
        <v>Mar</v>
      </c>
    </row>
    <row r="905" spans="1:16" ht="12.5" x14ac:dyDescent="0.25">
      <c r="A905" s="1">
        <v>11004</v>
      </c>
      <c r="B905" s="1" t="s">
        <v>35</v>
      </c>
      <c r="C905" s="1" t="s">
        <v>36</v>
      </c>
      <c r="D905" t="s">
        <v>63</v>
      </c>
      <c r="E905" s="1">
        <v>150</v>
      </c>
      <c r="F905" s="1">
        <v>200</v>
      </c>
      <c r="G905" s="1">
        <v>702</v>
      </c>
      <c r="H905" s="1">
        <f>Int_breweries[[#This Row],[PLANT_COST]]*Int_breweries[[#This Row],[QUANTITY]]</f>
        <v>105300</v>
      </c>
      <c r="I905" s="1">
        <v>140400</v>
      </c>
      <c r="J905" s="1">
        <v>35100</v>
      </c>
      <c r="K905" s="1" t="s">
        <v>28</v>
      </c>
      <c r="L905" t="s">
        <v>58</v>
      </c>
      <c r="M905" s="1" t="s">
        <v>29</v>
      </c>
      <c r="N905" s="1">
        <v>2018</v>
      </c>
      <c r="O905" t="str" cm="1">
        <f t="array" ref="O905">_xlfn.IFS(OR($K905="Ghana", $K905="Nigeria"), "Anglophone", OR($K905="Togo", $K905="Benin", $K905="Senegal"), "Francophone")</f>
        <v>Francophone</v>
      </c>
      <c r="P905" s="1" t="str">
        <f>LEFT(Int_breweries[[#This Row],[MONTHS]], 3)</f>
        <v>Apr</v>
      </c>
    </row>
    <row r="906" spans="1:16" ht="12.5" x14ac:dyDescent="0.25">
      <c r="A906" s="1">
        <v>11005</v>
      </c>
      <c r="B906" s="1" t="s">
        <v>26</v>
      </c>
      <c r="C906" s="1" t="s">
        <v>27</v>
      </c>
      <c r="D906" t="s">
        <v>64</v>
      </c>
      <c r="E906" s="1">
        <v>250</v>
      </c>
      <c r="F906" s="1">
        <v>500</v>
      </c>
      <c r="G906" s="1">
        <v>984</v>
      </c>
      <c r="H906" s="1">
        <f>Int_breweries[[#This Row],[PLANT_COST]]*Int_breweries[[#This Row],[QUANTITY]]</f>
        <v>246000</v>
      </c>
      <c r="I906" s="1">
        <v>492000</v>
      </c>
      <c r="J906" s="1">
        <v>246000</v>
      </c>
      <c r="K906" s="1" t="s">
        <v>32</v>
      </c>
      <c r="L906" t="s">
        <v>59</v>
      </c>
      <c r="M906" s="1" t="s">
        <v>33</v>
      </c>
      <c r="N906" s="1">
        <v>2017</v>
      </c>
      <c r="O906" t="str" cm="1">
        <f t="array" ref="O906">_xlfn.IFS(OR($K906="Ghana", $K906="Nigeria"), "Anglophone", OR($K906="Togo", $K906="Benin", $K906="Senegal"), "Francophone")</f>
        <v>Francophone</v>
      </c>
      <c r="P906" s="1" t="str">
        <f>LEFT(Int_breweries[[#This Row],[MONTHS]], 3)</f>
        <v>May</v>
      </c>
    </row>
    <row r="907" spans="1:16" ht="12.5" x14ac:dyDescent="0.25">
      <c r="A907" s="1">
        <v>11006</v>
      </c>
      <c r="B907" s="1" t="s">
        <v>39</v>
      </c>
      <c r="C907" s="1" t="s">
        <v>40</v>
      </c>
      <c r="D907" t="s">
        <v>65</v>
      </c>
      <c r="E907" s="1">
        <v>180</v>
      </c>
      <c r="F907" s="1">
        <v>450</v>
      </c>
      <c r="G907" s="1">
        <v>861</v>
      </c>
      <c r="H907" s="1">
        <f>Int_breweries[[#This Row],[PLANT_COST]]*Int_breweries[[#This Row],[QUANTITY]]</f>
        <v>154980</v>
      </c>
      <c r="I907" s="1">
        <v>387450</v>
      </c>
      <c r="J907" s="1">
        <v>232470</v>
      </c>
      <c r="K907" s="1" t="s">
        <v>14</v>
      </c>
      <c r="L907" t="s">
        <v>60</v>
      </c>
      <c r="M907" s="1" t="s">
        <v>34</v>
      </c>
      <c r="N907" s="1">
        <v>2017</v>
      </c>
      <c r="O907" t="str" cm="1">
        <f t="array" ref="O907">_xlfn.IFS(OR($K907="Ghana", $K907="Nigeria"), "Anglophone", OR($K907="Togo", $K907="Benin", $K907="Senegal"), "Francophone")</f>
        <v>Anglophone</v>
      </c>
      <c r="P907" s="1" t="str">
        <f>LEFT(Int_breweries[[#This Row],[MONTHS]], 3)</f>
        <v>Jun</v>
      </c>
    </row>
    <row r="908" spans="1:16" ht="12.5" x14ac:dyDescent="0.25">
      <c r="A908" s="1">
        <v>11007</v>
      </c>
      <c r="B908" s="1" t="s">
        <v>42</v>
      </c>
      <c r="C908" s="1" t="s">
        <v>43</v>
      </c>
      <c r="D908" t="s">
        <v>66</v>
      </c>
      <c r="E908" s="1">
        <v>170</v>
      </c>
      <c r="F908" s="1">
        <v>250</v>
      </c>
      <c r="G908" s="1">
        <v>984</v>
      </c>
      <c r="H908" s="1">
        <f>Int_breweries[[#This Row],[PLANT_COST]]*Int_breweries[[#This Row],[QUANTITY]]</f>
        <v>167280</v>
      </c>
      <c r="I908" s="1">
        <v>246000</v>
      </c>
      <c r="J908" s="1">
        <v>78720</v>
      </c>
      <c r="K908" s="1" t="s">
        <v>19</v>
      </c>
      <c r="L908" t="s">
        <v>61</v>
      </c>
      <c r="M908" s="1" t="s">
        <v>37</v>
      </c>
      <c r="N908" s="1">
        <v>2019</v>
      </c>
      <c r="O908" t="str" cm="1">
        <f t="array" ref="O908">_xlfn.IFS(OR($K908="Ghana", $K908="Nigeria"), "Anglophone", OR($K908="Togo", $K908="Benin", $K908="Senegal"), "Francophone")</f>
        <v>Anglophone</v>
      </c>
      <c r="P908" s="1" t="str">
        <f>LEFT(Int_breweries[[#This Row],[MONTHS]], 3)</f>
        <v>Jul</v>
      </c>
    </row>
    <row r="909" spans="1:16" ht="12.5" x14ac:dyDescent="0.25">
      <c r="A909" s="1">
        <v>11008</v>
      </c>
      <c r="B909" s="1" t="s">
        <v>45</v>
      </c>
      <c r="C909" s="1" t="s">
        <v>46</v>
      </c>
      <c r="D909" t="s">
        <v>67</v>
      </c>
      <c r="E909" s="1">
        <v>150</v>
      </c>
      <c r="F909" s="1">
        <v>200</v>
      </c>
      <c r="G909" s="1">
        <v>760</v>
      </c>
      <c r="H909" s="1">
        <f>Int_breweries[[#This Row],[PLANT_COST]]*Int_breweries[[#This Row],[QUANTITY]]</f>
        <v>114000</v>
      </c>
      <c r="I909" s="1">
        <v>152000</v>
      </c>
      <c r="J909" s="1">
        <v>38000</v>
      </c>
      <c r="K909" s="1" t="s">
        <v>24</v>
      </c>
      <c r="L909" t="s">
        <v>62</v>
      </c>
      <c r="M909" s="1" t="s">
        <v>38</v>
      </c>
      <c r="N909" s="1">
        <v>2018</v>
      </c>
      <c r="O909" t="str" cm="1">
        <f t="array" ref="O909">_xlfn.IFS(OR($K909="Ghana", $K909="Nigeria"), "Anglophone", OR($K909="Togo", $K909="Benin", $K909="Senegal"), "Francophone")</f>
        <v>Francophone</v>
      </c>
      <c r="P909" s="1" t="str">
        <f>LEFT(Int_breweries[[#This Row],[MONTHS]], 3)</f>
        <v>Aug</v>
      </c>
    </row>
    <row r="910" spans="1:16" ht="12.5" x14ac:dyDescent="0.25">
      <c r="A910" s="1">
        <v>11009</v>
      </c>
      <c r="B910" s="1" t="s">
        <v>26</v>
      </c>
      <c r="C910" s="1" t="s">
        <v>27</v>
      </c>
      <c r="D910" t="s">
        <v>68</v>
      </c>
      <c r="E910" s="1">
        <v>80</v>
      </c>
      <c r="F910" s="1">
        <v>150</v>
      </c>
      <c r="G910" s="1">
        <v>849</v>
      </c>
      <c r="H910" s="1">
        <f>Int_breweries[[#This Row],[PLANT_COST]]*Int_breweries[[#This Row],[QUANTITY]]</f>
        <v>67920</v>
      </c>
      <c r="I910" s="1">
        <v>127350</v>
      </c>
      <c r="J910" s="1">
        <v>59430</v>
      </c>
      <c r="K910" s="1" t="s">
        <v>28</v>
      </c>
      <c r="L910" t="s">
        <v>15</v>
      </c>
      <c r="M910" s="1" t="s">
        <v>41</v>
      </c>
      <c r="N910" s="1">
        <v>2019</v>
      </c>
      <c r="O910" t="str" cm="1">
        <f t="array" ref="O910">_xlfn.IFS(OR($K910="Ghana", $K910="Nigeria"), "Anglophone", OR($K910="Togo", $K910="Benin", $K910="Senegal"), "Francophone")</f>
        <v>Francophone</v>
      </c>
      <c r="P910" s="1" t="str">
        <f>LEFT(Int_breweries[[#This Row],[MONTHS]], 3)</f>
        <v>Sep</v>
      </c>
    </row>
    <row r="911" spans="1:16" ht="12.5" x14ac:dyDescent="0.25">
      <c r="A911" s="1">
        <v>11010</v>
      </c>
      <c r="B911" s="1" t="s">
        <v>49</v>
      </c>
      <c r="C911" s="1" t="s">
        <v>50</v>
      </c>
      <c r="D911" t="s">
        <v>69</v>
      </c>
      <c r="E911" s="1">
        <v>90</v>
      </c>
      <c r="F911" s="1">
        <v>150</v>
      </c>
      <c r="G911" s="1">
        <v>728</v>
      </c>
      <c r="H911" s="1">
        <f>Int_breweries[[#This Row],[PLANT_COST]]*Int_breweries[[#This Row],[QUANTITY]]</f>
        <v>65520</v>
      </c>
      <c r="I911" s="1">
        <v>109200</v>
      </c>
      <c r="J911" s="1">
        <v>43680</v>
      </c>
      <c r="K911" s="1" t="s">
        <v>32</v>
      </c>
      <c r="L911" t="s">
        <v>58</v>
      </c>
      <c r="M911" s="1" t="s">
        <v>44</v>
      </c>
      <c r="N911" s="1">
        <v>2017</v>
      </c>
      <c r="O911" t="str" cm="1">
        <f t="array" ref="O911">_xlfn.IFS(OR($K911="Ghana", $K911="Nigeria"), "Anglophone", OR($K911="Togo", $K911="Benin", $K911="Senegal"), "Francophone")</f>
        <v>Francophone</v>
      </c>
      <c r="P911" s="1" t="str">
        <f>LEFT(Int_breweries[[#This Row],[MONTHS]], 3)</f>
        <v>Oct</v>
      </c>
    </row>
    <row r="912" spans="1:16" ht="12.5" x14ac:dyDescent="0.25">
      <c r="A912" s="1">
        <v>11011</v>
      </c>
      <c r="B912" s="1" t="s">
        <v>26</v>
      </c>
      <c r="C912" s="1" t="s">
        <v>27</v>
      </c>
      <c r="D912" t="s">
        <v>63</v>
      </c>
      <c r="E912" s="1">
        <v>150</v>
      </c>
      <c r="F912" s="1">
        <v>200</v>
      </c>
      <c r="G912" s="1">
        <v>842</v>
      </c>
      <c r="H912" s="1">
        <f>Int_breweries[[#This Row],[PLANT_COST]]*Int_breweries[[#This Row],[QUANTITY]]</f>
        <v>126300</v>
      </c>
      <c r="I912" s="1">
        <v>168400</v>
      </c>
      <c r="J912" s="1">
        <v>42100</v>
      </c>
      <c r="K912" s="1" t="s">
        <v>14</v>
      </c>
      <c r="L912" t="s">
        <v>59</v>
      </c>
      <c r="M912" s="1" t="s">
        <v>47</v>
      </c>
      <c r="N912" s="1">
        <v>2019</v>
      </c>
      <c r="O912" t="str" cm="1">
        <f t="array" ref="O912">_xlfn.IFS(OR($K912="Ghana", $K912="Nigeria"), "Anglophone", OR($K912="Togo", $K912="Benin", $K912="Senegal"), "Francophone")</f>
        <v>Anglophone</v>
      </c>
      <c r="P912" s="1" t="str">
        <f>LEFT(Int_breweries[[#This Row],[MONTHS]], 3)</f>
        <v>Nov</v>
      </c>
    </row>
    <row r="913" spans="1:16" ht="12.5" x14ac:dyDescent="0.25">
      <c r="A913" s="1">
        <v>11012</v>
      </c>
      <c r="B913" s="1" t="s">
        <v>39</v>
      </c>
      <c r="C913" s="1" t="s">
        <v>40</v>
      </c>
      <c r="D913" t="s">
        <v>64</v>
      </c>
      <c r="E913" s="1">
        <v>250</v>
      </c>
      <c r="F913" s="1">
        <v>500</v>
      </c>
      <c r="G913" s="1">
        <v>966</v>
      </c>
      <c r="H913" s="1">
        <f>Int_breweries[[#This Row],[PLANT_COST]]*Int_breweries[[#This Row],[QUANTITY]]</f>
        <v>241500</v>
      </c>
      <c r="I913" s="1">
        <v>483000</v>
      </c>
      <c r="J913" s="1">
        <v>241500</v>
      </c>
      <c r="K913" s="1" t="s">
        <v>19</v>
      </c>
      <c r="L913" t="s">
        <v>60</v>
      </c>
      <c r="M913" s="1" t="s">
        <v>48</v>
      </c>
      <c r="N913" s="1">
        <v>2017</v>
      </c>
      <c r="O913" t="str" cm="1">
        <f t="array" ref="O913">_xlfn.IFS(OR($K913="Ghana", $K913="Nigeria"), "Anglophone", OR($K913="Togo", $K913="Benin", $K913="Senegal"), "Francophone")</f>
        <v>Anglophone</v>
      </c>
      <c r="P913" s="1" t="str">
        <f>LEFT(Int_breweries[[#This Row],[MONTHS]], 3)</f>
        <v>Dec</v>
      </c>
    </row>
    <row r="914" spans="1:16" ht="12.5" x14ac:dyDescent="0.25">
      <c r="A914" s="1">
        <v>11013</v>
      </c>
      <c r="B914" s="1" t="s">
        <v>26</v>
      </c>
      <c r="C914" s="1" t="s">
        <v>27</v>
      </c>
      <c r="D914" t="s">
        <v>65</v>
      </c>
      <c r="E914" s="1">
        <v>180</v>
      </c>
      <c r="F914" s="1">
        <v>450</v>
      </c>
      <c r="G914" s="1">
        <v>732</v>
      </c>
      <c r="H914" s="1">
        <f>Int_breweries[[#This Row],[PLANT_COST]]*Int_breweries[[#This Row],[QUANTITY]]</f>
        <v>131760</v>
      </c>
      <c r="I914" s="1">
        <v>329400</v>
      </c>
      <c r="J914" s="1">
        <v>197640</v>
      </c>
      <c r="K914" s="1" t="s">
        <v>24</v>
      </c>
      <c r="L914" t="s">
        <v>61</v>
      </c>
      <c r="M914" s="1" t="s">
        <v>16</v>
      </c>
      <c r="N914" s="1">
        <v>2017</v>
      </c>
      <c r="O914" t="str" cm="1">
        <f t="array" ref="O914">_xlfn.IFS(OR($K914="Ghana", $K914="Nigeria"), "Anglophone", OR($K914="Togo", $K914="Benin", $K914="Senegal"), "Francophone")</f>
        <v>Francophone</v>
      </c>
      <c r="P914" s="1" t="str">
        <f>LEFT(Int_breweries[[#This Row],[MONTHS]], 3)</f>
        <v>Jan</v>
      </c>
    </row>
    <row r="915" spans="1:16" ht="12.5" x14ac:dyDescent="0.25">
      <c r="A915" s="1">
        <v>11014</v>
      </c>
      <c r="B915" s="1" t="s">
        <v>45</v>
      </c>
      <c r="C915" s="1" t="s">
        <v>46</v>
      </c>
      <c r="D915" t="s">
        <v>66</v>
      </c>
      <c r="E915" s="1">
        <v>170</v>
      </c>
      <c r="F915" s="1">
        <v>250</v>
      </c>
      <c r="G915" s="1">
        <v>996</v>
      </c>
      <c r="H915" s="1">
        <f>Int_breweries[[#This Row],[PLANT_COST]]*Int_breweries[[#This Row],[QUANTITY]]</f>
        <v>169320</v>
      </c>
      <c r="I915" s="1">
        <v>249000</v>
      </c>
      <c r="J915" s="1">
        <v>79680</v>
      </c>
      <c r="K915" s="1" t="s">
        <v>28</v>
      </c>
      <c r="L915" t="s">
        <v>62</v>
      </c>
      <c r="M915" s="1" t="s">
        <v>21</v>
      </c>
      <c r="N915" s="1">
        <v>2018</v>
      </c>
      <c r="O915" t="str" cm="1">
        <f t="array" ref="O915">_xlfn.IFS(OR($K915="Ghana", $K915="Nigeria"), "Anglophone", OR($K915="Togo", $K915="Benin", $K915="Senegal"), "Francophone")</f>
        <v>Francophone</v>
      </c>
      <c r="P915" s="1" t="str">
        <f>LEFT(Int_breweries[[#This Row],[MONTHS]], 3)</f>
        <v>Feb</v>
      </c>
    </row>
    <row r="916" spans="1:16" ht="12.5" x14ac:dyDescent="0.25">
      <c r="A916" s="1">
        <v>11015</v>
      </c>
      <c r="B916" s="1" t="s">
        <v>51</v>
      </c>
      <c r="C916" s="1" t="s">
        <v>52</v>
      </c>
      <c r="D916" t="s">
        <v>67</v>
      </c>
      <c r="E916" s="1">
        <v>150</v>
      </c>
      <c r="F916" s="1">
        <v>200</v>
      </c>
      <c r="G916" s="1">
        <v>770</v>
      </c>
      <c r="H916" s="1">
        <f>Int_breweries[[#This Row],[PLANT_COST]]*Int_breweries[[#This Row],[QUANTITY]]</f>
        <v>115500</v>
      </c>
      <c r="I916" s="1">
        <v>154000</v>
      </c>
      <c r="J916" s="1">
        <v>38500</v>
      </c>
      <c r="K916" s="1" t="s">
        <v>32</v>
      </c>
      <c r="L916" t="s">
        <v>15</v>
      </c>
      <c r="M916" s="1" t="s">
        <v>25</v>
      </c>
      <c r="N916" s="1">
        <v>2019</v>
      </c>
      <c r="O916" t="str" cm="1">
        <f t="array" ref="O916">_xlfn.IFS(OR($K916="Ghana", $K916="Nigeria"), "Anglophone", OR($K916="Togo", $K916="Benin", $K916="Senegal"), "Francophone")</f>
        <v>Francophone</v>
      </c>
      <c r="P916" s="1" t="str">
        <f>LEFT(Int_breweries[[#This Row],[MONTHS]], 3)</f>
        <v>Mar</v>
      </c>
    </row>
    <row r="917" spans="1:16" ht="12.5" x14ac:dyDescent="0.25">
      <c r="A917" s="1">
        <v>11016</v>
      </c>
      <c r="B917" s="1" t="s">
        <v>49</v>
      </c>
      <c r="C917" s="1" t="s">
        <v>50</v>
      </c>
      <c r="D917" t="s">
        <v>68</v>
      </c>
      <c r="E917" s="1">
        <v>80</v>
      </c>
      <c r="F917" s="1">
        <v>150</v>
      </c>
      <c r="G917" s="1">
        <v>785</v>
      </c>
      <c r="H917" s="1">
        <f>Int_breweries[[#This Row],[PLANT_COST]]*Int_breweries[[#This Row],[QUANTITY]]</f>
        <v>62800</v>
      </c>
      <c r="I917" s="1">
        <v>117750</v>
      </c>
      <c r="J917" s="1">
        <v>54950</v>
      </c>
      <c r="K917" s="1" t="s">
        <v>14</v>
      </c>
      <c r="L917" t="s">
        <v>58</v>
      </c>
      <c r="M917" s="1" t="s">
        <v>29</v>
      </c>
      <c r="N917" s="1">
        <v>2017</v>
      </c>
      <c r="O917" t="str" cm="1">
        <f t="array" ref="O917">_xlfn.IFS(OR($K917="Ghana", $K917="Nigeria"), "Anglophone", OR($K917="Togo", $K917="Benin", $K917="Senegal"), "Francophone")</f>
        <v>Anglophone</v>
      </c>
      <c r="P917" s="1" t="str">
        <f>LEFT(Int_breweries[[#This Row],[MONTHS]], 3)</f>
        <v>Apr</v>
      </c>
    </row>
    <row r="918" spans="1:16" ht="12.5" x14ac:dyDescent="0.25">
      <c r="A918" s="1">
        <v>11017</v>
      </c>
      <c r="B918" s="1" t="s">
        <v>45</v>
      </c>
      <c r="C918" s="1" t="s">
        <v>46</v>
      </c>
      <c r="D918" t="s">
        <v>69</v>
      </c>
      <c r="E918" s="1">
        <v>90</v>
      </c>
      <c r="F918" s="1">
        <v>150</v>
      </c>
      <c r="G918" s="1">
        <v>891</v>
      </c>
      <c r="H918" s="1">
        <f>Int_breweries[[#This Row],[PLANT_COST]]*Int_breweries[[#This Row],[QUANTITY]]</f>
        <v>80190</v>
      </c>
      <c r="I918" s="1">
        <v>133650</v>
      </c>
      <c r="J918" s="1">
        <v>53460</v>
      </c>
      <c r="K918" s="1" t="s">
        <v>19</v>
      </c>
      <c r="L918" t="s">
        <v>59</v>
      </c>
      <c r="M918" s="1" t="s">
        <v>33</v>
      </c>
      <c r="N918" s="1">
        <v>2017</v>
      </c>
      <c r="O918" t="str" cm="1">
        <f t="array" ref="O918">_xlfn.IFS(OR($K918="Ghana", $K918="Nigeria"), "Anglophone", OR($K918="Togo", $K918="Benin", $K918="Senegal"), "Francophone")</f>
        <v>Anglophone</v>
      </c>
      <c r="P918" s="1" t="str">
        <f>LEFT(Int_breweries[[#This Row],[MONTHS]], 3)</f>
        <v>May</v>
      </c>
    </row>
    <row r="919" spans="1:16" ht="12.5" x14ac:dyDescent="0.25">
      <c r="A919" s="1">
        <v>11018</v>
      </c>
      <c r="B919" s="1" t="s">
        <v>17</v>
      </c>
      <c r="C919" s="1" t="s">
        <v>18</v>
      </c>
      <c r="D919" t="s">
        <v>63</v>
      </c>
      <c r="E919" s="1">
        <v>150</v>
      </c>
      <c r="F919" s="1">
        <v>200</v>
      </c>
      <c r="G919" s="1">
        <v>793</v>
      </c>
      <c r="H919" s="1">
        <f>Int_breweries[[#This Row],[PLANT_COST]]*Int_breweries[[#This Row],[QUANTITY]]</f>
        <v>118950</v>
      </c>
      <c r="I919" s="1">
        <v>158600</v>
      </c>
      <c r="J919" s="1">
        <v>39650</v>
      </c>
      <c r="K919" s="1" t="s">
        <v>24</v>
      </c>
      <c r="L919" t="s">
        <v>60</v>
      </c>
      <c r="M919" s="1" t="s">
        <v>34</v>
      </c>
      <c r="N919" s="1">
        <v>2019</v>
      </c>
      <c r="O919" t="str" cm="1">
        <f t="array" ref="O919">_xlfn.IFS(OR($K919="Ghana", $K919="Nigeria"), "Anglophone", OR($K919="Togo", $K919="Benin", $K919="Senegal"), "Francophone")</f>
        <v>Francophone</v>
      </c>
      <c r="P919" s="1" t="str">
        <f>LEFT(Int_breweries[[#This Row],[MONTHS]], 3)</f>
        <v>Jun</v>
      </c>
    </row>
    <row r="920" spans="1:16" ht="12.5" x14ac:dyDescent="0.25">
      <c r="A920" s="1">
        <v>11019</v>
      </c>
      <c r="B920" s="1" t="s">
        <v>49</v>
      </c>
      <c r="C920" s="1" t="s">
        <v>50</v>
      </c>
      <c r="D920" t="s">
        <v>64</v>
      </c>
      <c r="E920" s="1">
        <v>250</v>
      </c>
      <c r="F920" s="1">
        <v>500</v>
      </c>
      <c r="G920" s="1">
        <v>893</v>
      </c>
      <c r="H920" s="1">
        <f>Int_breweries[[#This Row],[PLANT_COST]]*Int_breweries[[#This Row],[QUANTITY]]</f>
        <v>223250</v>
      </c>
      <c r="I920" s="1">
        <v>446500</v>
      </c>
      <c r="J920" s="1">
        <v>223250</v>
      </c>
      <c r="K920" s="1" t="s">
        <v>28</v>
      </c>
      <c r="L920" t="s">
        <v>61</v>
      </c>
      <c r="M920" s="1" t="s">
        <v>37</v>
      </c>
      <c r="N920" s="1">
        <v>2019</v>
      </c>
      <c r="O920" t="str" cm="1">
        <f t="array" ref="O920">_xlfn.IFS(OR($K920="Ghana", $K920="Nigeria"), "Anglophone", OR($K920="Togo", $K920="Benin", $K920="Senegal"), "Francophone")</f>
        <v>Francophone</v>
      </c>
      <c r="P920" s="1" t="str">
        <f>LEFT(Int_breweries[[#This Row],[MONTHS]], 3)</f>
        <v>Jul</v>
      </c>
    </row>
    <row r="921" spans="1:16" ht="12.5" x14ac:dyDescent="0.25">
      <c r="A921" s="1">
        <v>11020</v>
      </c>
      <c r="B921" s="1" t="s">
        <v>26</v>
      </c>
      <c r="C921" s="1" t="s">
        <v>27</v>
      </c>
      <c r="D921" t="s">
        <v>65</v>
      </c>
      <c r="E921" s="1">
        <v>180</v>
      </c>
      <c r="F921" s="1">
        <v>450</v>
      </c>
      <c r="G921" s="1">
        <v>880</v>
      </c>
      <c r="H921" s="1">
        <f>Int_breweries[[#This Row],[PLANT_COST]]*Int_breweries[[#This Row],[QUANTITY]]</f>
        <v>158400</v>
      </c>
      <c r="I921" s="1">
        <v>396000</v>
      </c>
      <c r="J921" s="1">
        <v>237600</v>
      </c>
      <c r="K921" s="1" t="s">
        <v>32</v>
      </c>
      <c r="L921" t="s">
        <v>62</v>
      </c>
      <c r="M921" s="1" t="s">
        <v>38</v>
      </c>
      <c r="N921" s="1">
        <v>2017</v>
      </c>
      <c r="O921" t="str" cm="1">
        <f t="array" ref="O921">_xlfn.IFS(OR($K921="Ghana", $K921="Nigeria"), "Anglophone", OR($K921="Togo", $K921="Benin", $K921="Senegal"), "Francophone")</f>
        <v>Francophone</v>
      </c>
      <c r="P921" s="1" t="str">
        <f>LEFT(Int_breweries[[#This Row],[MONTHS]], 3)</f>
        <v>Aug</v>
      </c>
    </row>
    <row r="922" spans="1:16" ht="12.5" x14ac:dyDescent="0.25">
      <c r="A922" s="1">
        <v>11021</v>
      </c>
      <c r="B922" s="1" t="s">
        <v>22</v>
      </c>
      <c r="C922" s="1" t="s">
        <v>23</v>
      </c>
      <c r="D922" t="s">
        <v>66</v>
      </c>
      <c r="E922" s="1">
        <v>170</v>
      </c>
      <c r="F922" s="1">
        <v>250</v>
      </c>
      <c r="G922" s="1">
        <v>921</v>
      </c>
      <c r="H922" s="1">
        <f>Int_breweries[[#This Row],[PLANT_COST]]*Int_breweries[[#This Row],[QUANTITY]]</f>
        <v>156570</v>
      </c>
      <c r="I922" s="1">
        <v>230250</v>
      </c>
      <c r="J922" s="1">
        <v>73680</v>
      </c>
      <c r="K922" s="1" t="s">
        <v>14</v>
      </c>
      <c r="L922" t="s">
        <v>15</v>
      </c>
      <c r="M922" s="1" t="s">
        <v>41</v>
      </c>
      <c r="N922" s="1">
        <v>2017</v>
      </c>
      <c r="O922" t="str" cm="1">
        <f t="array" ref="O922">_xlfn.IFS(OR($K922="Ghana", $K922="Nigeria"), "Anglophone", OR($K922="Togo", $K922="Benin", $K922="Senegal"), "Francophone")</f>
        <v>Anglophone</v>
      </c>
      <c r="P922" s="1" t="str">
        <f>LEFT(Int_breweries[[#This Row],[MONTHS]], 3)</f>
        <v>Sep</v>
      </c>
    </row>
    <row r="923" spans="1:16" ht="12.5" x14ac:dyDescent="0.25">
      <c r="A923" s="1">
        <v>11022</v>
      </c>
      <c r="B923" s="1" t="s">
        <v>12</v>
      </c>
      <c r="C923" s="1" t="s">
        <v>13</v>
      </c>
      <c r="D923" t="s">
        <v>67</v>
      </c>
      <c r="E923" s="1">
        <v>150</v>
      </c>
      <c r="F923" s="1">
        <v>200</v>
      </c>
      <c r="G923" s="1">
        <v>851</v>
      </c>
      <c r="H923" s="1">
        <f>Int_breweries[[#This Row],[PLANT_COST]]*Int_breweries[[#This Row],[QUANTITY]]</f>
        <v>127650</v>
      </c>
      <c r="I923" s="1">
        <v>170200</v>
      </c>
      <c r="J923" s="1">
        <v>42550</v>
      </c>
      <c r="K923" s="1" t="s">
        <v>19</v>
      </c>
      <c r="L923" t="s">
        <v>58</v>
      </c>
      <c r="M923" s="1" t="s">
        <v>44</v>
      </c>
      <c r="N923" s="1">
        <v>2019</v>
      </c>
      <c r="O923" t="str" cm="1">
        <f t="array" ref="O923">_xlfn.IFS(OR($K923="Ghana", $K923="Nigeria"), "Anglophone", OR($K923="Togo", $K923="Benin", $K923="Senegal"), "Francophone")</f>
        <v>Anglophone</v>
      </c>
      <c r="P923" s="1" t="str">
        <f>LEFT(Int_breweries[[#This Row],[MONTHS]], 3)</f>
        <v>Oct</v>
      </c>
    </row>
    <row r="924" spans="1:16" ht="12.5" x14ac:dyDescent="0.25">
      <c r="A924" s="1">
        <v>11023</v>
      </c>
      <c r="B924" s="1" t="s">
        <v>30</v>
      </c>
      <c r="C924" s="1" t="s">
        <v>31</v>
      </c>
      <c r="D924" t="s">
        <v>68</v>
      </c>
      <c r="E924" s="1">
        <v>80</v>
      </c>
      <c r="F924" s="1">
        <v>150</v>
      </c>
      <c r="G924" s="1">
        <v>860</v>
      </c>
      <c r="H924" s="1">
        <f>Int_breweries[[#This Row],[PLANT_COST]]*Int_breweries[[#This Row],[QUANTITY]]</f>
        <v>68800</v>
      </c>
      <c r="I924" s="1">
        <v>129000</v>
      </c>
      <c r="J924" s="1">
        <v>60200</v>
      </c>
      <c r="K924" s="1" t="s">
        <v>24</v>
      </c>
      <c r="L924" t="s">
        <v>59</v>
      </c>
      <c r="M924" s="1" t="s">
        <v>47</v>
      </c>
      <c r="N924" s="1">
        <v>2018</v>
      </c>
      <c r="O924" t="str" cm="1">
        <f t="array" ref="O924">_xlfn.IFS(OR($K924="Ghana", $K924="Nigeria"), "Anglophone", OR($K924="Togo", $K924="Benin", $K924="Senegal"), "Francophone")</f>
        <v>Francophone</v>
      </c>
      <c r="P924" s="1" t="str">
        <f>LEFT(Int_breweries[[#This Row],[MONTHS]], 3)</f>
        <v>Nov</v>
      </c>
    </row>
    <row r="925" spans="1:16" ht="12.5" x14ac:dyDescent="0.25">
      <c r="A925" s="1">
        <v>11024</v>
      </c>
      <c r="B925" s="1" t="s">
        <v>42</v>
      </c>
      <c r="C925" s="1" t="s">
        <v>43</v>
      </c>
      <c r="D925" t="s">
        <v>69</v>
      </c>
      <c r="E925" s="1">
        <v>90</v>
      </c>
      <c r="F925" s="1">
        <v>150</v>
      </c>
      <c r="G925" s="1">
        <v>818</v>
      </c>
      <c r="H925" s="1">
        <f>Int_breweries[[#This Row],[PLANT_COST]]*Int_breweries[[#This Row],[QUANTITY]]</f>
        <v>73620</v>
      </c>
      <c r="I925" s="1">
        <v>122700</v>
      </c>
      <c r="J925" s="1">
        <v>49080</v>
      </c>
      <c r="K925" s="1" t="s">
        <v>28</v>
      </c>
      <c r="L925" t="s">
        <v>60</v>
      </c>
      <c r="M925" s="1" t="s">
        <v>48</v>
      </c>
      <c r="N925" s="1">
        <v>2018</v>
      </c>
      <c r="O925" t="str" cm="1">
        <f t="array" ref="O925">_xlfn.IFS(OR($K925="Ghana", $K925="Nigeria"), "Anglophone", OR($K925="Togo", $K925="Benin", $K925="Senegal"), "Francophone")</f>
        <v>Francophone</v>
      </c>
      <c r="P925" s="1" t="str">
        <f>LEFT(Int_breweries[[#This Row],[MONTHS]], 3)</f>
        <v>Dec</v>
      </c>
    </row>
    <row r="926" spans="1:16" ht="12.5" x14ac:dyDescent="0.25">
      <c r="A926" s="1">
        <v>11025</v>
      </c>
      <c r="B926" s="1" t="s">
        <v>17</v>
      </c>
      <c r="C926" s="1" t="s">
        <v>18</v>
      </c>
      <c r="D926" t="s">
        <v>63</v>
      </c>
      <c r="E926" s="1">
        <v>150</v>
      </c>
      <c r="F926" s="1">
        <v>200</v>
      </c>
      <c r="G926" s="1">
        <v>906</v>
      </c>
      <c r="H926" s="1">
        <f>Int_breweries[[#This Row],[PLANT_COST]]*Int_breweries[[#This Row],[QUANTITY]]</f>
        <v>135900</v>
      </c>
      <c r="I926" s="1">
        <v>181200</v>
      </c>
      <c r="J926" s="1">
        <v>45300</v>
      </c>
      <c r="K926" s="1" t="s">
        <v>32</v>
      </c>
      <c r="L926" t="s">
        <v>61</v>
      </c>
      <c r="M926" s="1" t="s">
        <v>16</v>
      </c>
      <c r="N926" s="1">
        <v>2017</v>
      </c>
      <c r="O926" t="str" cm="1">
        <f t="array" ref="O926">_xlfn.IFS(OR($K926="Ghana", $K926="Nigeria"), "Anglophone", OR($K926="Togo", $K926="Benin", $K926="Senegal"), "Francophone")</f>
        <v>Francophone</v>
      </c>
      <c r="P926" s="1" t="str">
        <f>LEFT(Int_breweries[[#This Row],[MONTHS]], 3)</f>
        <v>Jan</v>
      </c>
    </row>
    <row r="927" spans="1:16" ht="12.5" x14ac:dyDescent="0.25">
      <c r="A927" s="1">
        <v>11026</v>
      </c>
      <c r="B927" s="1" t="s">
        <v>17</v>
      </c>
      <c r="C927" s="1" t="s">
        <v>18</v>
      </c>
      <c r="D927" t="s">
        <v>64</v>
      </c>
      <c r="E927" s="1">
        <v>250</v>
      </c>
      <c r="F927" s="1">
        <v>500</v>
      </c>
      <c r="G927" s="1">
        <v>810</v>
      </c>
      <c r="H927" s="1">
        <f>Int_breweries[[#This Row],[PLANT_COST]]*Int_breweries[[#This Row],[QUANTITY]]</f>
        <v>202500</v>
      </c>
      <c r="I927" s="1">
        <v>405000</v>
      </c>
      <c r="J927" s="1">
        <v>202500</v>
      </c>
      <c r="K927" s="1" t="s">
        <v>14</v>
      </c>
      <c r="L927" t="s">
        <v>62</v>
      </c>
      <c r="M927" s="1" t="s">
        <v>21</v>
      </c>
      <c r="N927" s="1">
        <v>2017</v>
      </c>
      <c r="O927" t="str" cm="1">
        <f t="array" ref="O927">_xlfn.IFS(OR($K927="Ghana", $K927="Nigeria"), "Anglophone", OR($K927="Togo", $K927="Benin", $K927="Senegal"), "Francophone")</f>
        <v>Anglophone</v>
      </c>
      <c r="P927" s="1" t="str">
        <f>LEFT(Int_breweries[[#This Row],[MONTHS]], 3)</f>
        <v>Feb</v>
      </c>
    </row>
    <row r="928" spans="1:16" ht="12.5" x14ac:dyDescent="0.25">
      <c r="A928" s="1">
        <v>11027</v>
      </c>
      <c r="B928" s="1" t="s">
        <v>51</v>
      </c>
      <c r="C928" s="1" t="s">
        <v>52</v>
      </c>
      <c r="D928" t="s">
        <v>65</v>
      </c>
      <c r="E928" s="1">
        <v>180</v>
      </c>
      <c r="F928" s="1">
        <v>450</v>
      </c>
      <c r="G928" s="1">
        <v>847</v>
      </c>
      <c r="H928" s="1">
        <f>Int_breweries[[#This Row],[PLANT_COST]]*Int_breweries[[#This Row],[QUANTITY]]</f>
        <v>152460</v>
      </c>
      <c r="I928" s="1">
        <v>381150</v>
      </c>
      <c r="J928" s="1">
        <v>228690</v>
      </c>
      <c r="K928" s="1" t="s">
        <v>19</v>
      </c>
      <c r="L928" t="s">
        <v>15</v>
      </c>
      <c r="M928" s="1" t="s">
        <v>25</v>
      </c>
      <c r="N928" s="1">
        <v>2019</v>
      </c>
      <c r="O928" t="str" cm="1">
        <f t="array" ref="O928">_xlfn.IFS(OR($K928="Ghana", $K928="Nigeria"), "Anglophone", OR($K928="Togo", $K928="Benin", $K928="Senegal"), "Francophone")</f>
        <v>Anglophone</v>
      </c>
      <c r="P928" s="1" t="str">
        <f>LEFT(Int_breweries[[#This Row],[MONTHS]], 3)</f>
        <v>Mar</v>
      </c>
    </row>
    <row r="929" spans="1:16" ht="12.5" x14ac:dyDescent="0.25">
      <c r="A929" s="1">
        <v>11028</v>
      </c>
      <c r="B929" s="1" t="s">
        <v>26</v>
      </c>
      <c r="C929" s="1" t="s">
        <v>27</v>
      </c>
      <c r="D929" t="s">
        <v>66</v>
      </c>
      <c r="E929" s="1">
        <v>170</v>
      </c>
      <c r="F929" s="1">
        <v>250</v>
      </c>
      <c r="G929" s="1">
        <v>703</v>
      </c>
      <c r="H929" s="1">
        <f>Int_breweries[[#This Row],[PLANT_COST]]*Int_breweries[[#This Row],[QUANTITY]]</f>
        <v>119510</v>
      </c>
      <c r="I929" s="1">
        <v>175750</v>
      </c>
      <c r="J929" s="1">
        <v>56240</v>
      </c>
      <c r="K929" s="1" t="s">
        <v>24</v>
      </c>
      <c r="L929" t="s">
        <v>58</v>
      </c>
      <c r="M929" s="1" t="s">
        <v>29</v>
      </c>
      <c r="N929" s="1">
        <v>2017</v>
      </c>
      <c r="O929" t="str" cm="1">
        <f t="array" ref="O929">_xlfn.IFS(OR($K929="Ghana", $K929="Nigeria"), "Anglophone", OR($K929="Togo", $K929="Benin", $K929="Senegal"), "Francophone")</f>
        <v>Francophone</v>
      </c>
      <c r="P929" s="1" t="str">
        <f>LEFT(Int_breweries[[#This Row],[MONTHS]], 3)</f>
        <v>Apr</v>
      </c>
    </row>
    <row r="930" spans="1:16" ht="12.5" x14ac:dyDescent="0.25">
      <c r="A930" s="1">
        <v>11029</v>
      </c>
      <c r="B930" s="1" t="s">
        <v>39</v>
      </c>
      <c r="C930" s="1" t="s">
        <v>40</v>
      </c>
      <c r="D930" t="s">
        <v>67</v>
      </c>
      <c r="E930" s="1">
        <v>150</v>
      </c>
      <c r="F930" s="1">
        <v>200</v>
      </c>
      <c r="G930" s="1">
        <v>716</v>
      </c>
      <c r="H930" s="1">
        <f>Int_breweries[[#This Row],[PLANT_COST]]*Int_breweries[[#This Row],[QUANTITY]]</f>
        <v>107400</v>
      </c>
      <c r="I930" s="1">
        <v>143200</v>
      </c>
      <c r="J930" s="1">
        <v>35800</v>
      </c>
      <c r="K930" s="1" t="s">
        <v>28</v>
      </c>
      <c r="L930" t="s">
        <v>59</v>
      </c>
      <c r="M930" s="1" t="s">
        <v>33</v>
      </c>
      <c r="N930" s="1">
        <v>2018</v>
      </c>
      <c r="O930" t="str" cm="1">
        <f t="array" ref="O930">_xlfn.IFS(OR($K930="Ghana", $K930="Nigeria"), "Anglophone", OR($K930="Togo", $K930="Benin", $K930="Senegal"), "Francophone")</f>
        <v>Francophone</v>
      </c>
      <c r="P930" s="1" t="str">
        <f>LEFT(Int_breweries[[#This Row],[MONTHS]], 3)</f>
        <v>May</v>
      </c>
    </row>
    <row r="931" spans="1:16" ht="12.5" x14ac:dyDescent="0.25">
      <c r="A931" s="1">
        <v>11030</v>
      </c>
      <c r="B931" s="1" t="s">
        <v>51</v>
      </c>
      <c r="C931" s="1" t="s">
        <v>52</v>
      </c>
      <c r="D931" t="s">
        <v>68</v>
      </c>
      <c r="E931" s="1">
        <v>80</v>
      </c>
      <c r="F931" s="1">
        <v>150</v>
      </c>
      <c r="G931" s="1">
        <v>895</v>
      </c>
      <c r="H931" s="1">
        <f>Int_breweries[[#This Row],[PLANT_COST]]*Int_breweries[[#This Row],[QUANTITY]]</f>
        <v>71600</v>
      </c>
      <c r="I931" s="1">
        <v>134250</v>
      </c>
      <c r="J931" s="1">
        <v>62650</v>
      </c>
      <c r="K931" s="1" t="s">
        <v>32</v>
      </c>
      <c r="L931" t="s">
        <v>60</v>
      </c>
      <c r="M931" s="1" t="s">
        <v>34</v>
      </c>
      <c r="N931" s="1">
        <v>2019</v>
      </c>
      <c r="O931" t="str" cm="1">
        <f t="array" ref="O931">_xlfn.IFS(OR($K931="Ghana", $K931="Nigeria"), "Anglophone", OR($K931="Togo", $K931="Benin", $K931="Senegal"), "Francophone")</f>
        <v>Francophone</v>
      </c>
      <c r="P931" s="1" t="str">
        <f>LEFT(Int_breweries[[#This Row],[MONTHS]], 3)</f>
        <v>Jun</v>
      </c>
    </row>
    <row r="932" spans="1:16" ht="12.5" x14ac:dyDescent="0.25">
      <c r="A932" s="1">
        <v>11031</v>
      </c>
      <c r="B932" s="1" t="s">
        <v>22</v>
      </c>
      <c r="C932" s="1" t="s">
        <v>23</v>
      </c>
      <c r="D932" t="s">
        <v>69</v>
      </c>
      <c r="E932" s="1">
        <v>90</v>
      </c>
      <c r="F932" s="1">
        <v>150</v>
      </c>
      <c r="G932" s="1">
        <v>981</v>
      </c>
      <c r="H932" s="1">
        <f>Int_breweries[[#This Row],[PLANT_COST]]*Int_breweries[[#This Row],[QUANTITY]]</f>
        <v>88290</v>
      </c>
      <c r="I932" s="1">
        <v>147150</v>
      </c>
      <c r="J932" s="1">
        <v>58860</v>
      </c>
      <c r="K932" s="1" t="s">
        <v>14</v>
      </c>
      <c r="L932" t="s">
        <v>61</v>
      </c>
      <c r="M932" s="1" t="s">
        <v>37</v>
      </c>
      <c r="N932" s="1">
        <v>2019</v>
      </c>
      <c r="O932" t="str" cm="1">
        <f t="array" ref="O932">_xlfn.IFS(OR($K932="Ghana", $K932="Nigeria"), "Anglophone", OR($K932="Togo", $K932="Benin", $K932="Senegal"), "Francophone")</f>
        <v>Anglophone</v>
      </c>
      <c r="P932" s="1" t="str">
        <f>LEFT(Int_breweries[[#This Row],[MONTHS]], 3)</f>
        <v>Jul</v>
      </c>
    </row>
    <row r="933" spans="1:16" ht="12.5" x14ac:dyDescent="0.25">
      <c r="A933" s="1">
        <v>11032</v>
      </c>
      <c r="B933" s="1" t="s">
        <v>17</v>
      </c>
      <c r="C933" s="1" t="s">
        <v>18</v>
      </c>
      <c r="D933" t="s">
        <v>63</v>
      </c>
      <c r="E933" s="1">
        <v>150</v>
      </c>
      <c r="F933" s="1">
        <v>200</v>
      </c>
      <c r="G933" s="1">
        <v>799</v>
      </c>
      <c r="H933" s="1">
        <f>Int_breweries[[#This Row],[PLANT_COST]]*Int_breweries[[#This Row],[QUANTITY]]</f>
        <v>119850</v>
      </c>
      <c r="I933" s="1">
        <v>159800</v>
      </c>
      <c r="J933" s="1">
        <v>39950</v>
      </c>
      <c r="K933" s="1" t="s">
        <v>19</v>
      </c>
      <c r="L933" t="s">
        <v>62</v>
      </c>
      <c r="M933" s="1" t="s">
        <v>38</v>
      </c>
      <c r="N933" s="1">
        <v>2018</v>
      </c>
      <c r="O933" t="str" cm="1">
        <f t="array" ref="O933">_xlfn.IFS(OR($K933="Ghana", $K933="Nigeria"), "Anglophone", OR($K933="Togo", $K933="Benin", $K933="Senegal"), "Francophone")</f>
        <v>Anglophone</v>
      </c>
      <c r="P933" s="1" t="str">
        <f>LEFT(Int_breweries[[#This Row],[MONTHS]], 3)</f>
        <v>Aug</v>
      </c>
    </row>
    <row r="934" spans="1:16" ht="12.5" x14ac:dyDescent="0.25">
      <c r="A934" s="1">
        <v>11033</v>
      </c>
      <c r="B934" s="1" t="s">
        <v>22</v>
      </c>
      <c r="C934" s="1" t="s">
        <v>23</v>
      </c>
      <c r="D934" t="s">
        <v>64</v>
      </c>
      <c r="E934" s="1">
        <v>250</v>
      </c>
      <c r="F934" s="1">
        <v>500</v>
      </c>
      <c r="G934" s="1">
        <v>774</v>
      </c>
      <c r="H934" s="1">
        <f>Int_breweries[[#This Row],[PLANT_COST]]*Int_breweries[[#This Row],[QUANTITY]]</f>
        <v>193500</v>
      </c>
      <c r="I934" s="1">
        <v>387000</v>
      </c>
      <c r="J934" s="1">
        <v>193500</v>
      </c>
      <c r="K934" s="1" t="s">
        <v>24</v>
      </c>
      <c r="L934" t="s">
        <v>15</v>
      </c>
      <c r="M934" s="1" t="s">
        <v>41</v>
      </c>
      <c r="N934" s="1">
        <v>2018</v>
      </c>
      <c r="O934" t="str" cm="1">
        <f t="array" ref="O934">_xlfn.IFS(OR($K934="Ghana", $K934="Nigeria"), "Anglophone", OR($K934="Togo", $K934="Benin", $K934="Senegal"), "Francophone")</f>
        <v>Francophone</v>
      </c>
      <c r="P934" s="1" t="str">
        <f>LEFT(Int_breweries[[#This Row],[MONTHS]], 3)</f>
        <v>Sep</v>
      </c>
    </row>
    <row r="935" spans="1:16" ht="12.5" x14ac:dyDescent="0.25">
      <c r="A935" s="1">
        <v>11034</v>
      </c>
      <c r="B935" s="1" t="s">
        <v>35</v>
      </c>
      <c r="C935" s="1" t="s">
        <v>36</v>
      </c>
      <c r="D935" t="s">
        <v>65</v>
      </c>
      <c r="E935" s="1">
        <v>180</v>
      </c>
      <c r="F935" s="1">
        <v>450</v>
      </c>
      <c r="G935" s="1">
        <v>861</v>
      </c>
      <c r="H935" s="1">
        <f>Int_breweries[[#This Row],[PLANT_COST]]*Int_breweries[[#This Row],[QUANTITY]]</f>
        <v>154980</v>
      </c>
      <c r="I935" s="1">
        <v>387450</v>
      </c>
      <c r="J935" s="1">
        <v>232470</v>
      </c>
      <c r="K935" s="1" t="s">
        <v>28</v>
      </c>
      <c r="L935" t="s">
        <v>58</v>
      </c>
      <c r="M935" s="1" t="s">
        <v>44</v>
      </c>
      <c r="N935" s="1">
        <v>2019</v>
      </c>
      <c r="O935" t="str" cm="1">
        <f t="array" ref="O935">_xlfn.IFS(OR($K935="Ghana", $K935="Nigeria"), "Anglophone", OR($K935="Togo", $K935="Benin", $K935="Senegal"), "Francophone")</f>
        <v>Francophone</v>
      </c>
      <c r="P935" s="1" t="str">
        <f>LEFT(Int_breweries[[#This Row],[MONTHS]], 3)</f>
        <v>Oct</v>
      </c>
    </row>
    <row r="936" spans="1:16" ht="12.5" x14ac:dyDescent="0.25">
      <c r="A936" s="1">
        <v>11035</v>
      </c>
      <c r="B936" s="1" t="s">
        <v>30</v>
      </c>
      <c r="C936" s="1" t="s">
        <v>31</v>
      </c>
      <c r="D936" t="s">
        <v>66</v>
      </c>
      <c r="E936" s="1">
        <v>170</v>
      </c>
      <c r="F936" s="1">
        <v>250</v>
      </c>
      <c r="G936" s="1">
        <v>928</v>
      </c>
      <c r="H936" s="1">
        <f>Int_breweries[[#This Row],[PLANT_COST]]*Int_breweries[[#This Row],[QUANTITY]]</f>
        <v>157760</v>
      </c>
      <c r="I936" s="1">
        <v>232000</v>
      </c>
      <c r="J936" s="1">
        <v>74240</v>
      </c>
      <c r="K936" s="1" t="s">
        <v>32</v>
      </c>
      <c r="L936" t="s">
        <v>59</v>
      </c>
      <c r="M936" s="1" t="s">
        <v>47</v>
      </c>
      <c r="N936" s="1">
        <v>2017</v>
      </c>
      <c r="O936" t="str" cm="1">
        <f t="array" ref="O936">_xlfn.IFS(OR($K936="Ghana", $K936="Nigeria"), "Anglophone", OR($K936="Togo", $K936="Benin", $K936="Senegal"), "Francophone")</f>
        <v>Francophone</v>
      </c>
      <c r="P936" s="1" t="str">
        <f>LEFT(Int_breweries[[#This Row],[MONTHS]], 3)</f>
        <v>Nov</v>
      </c>
    </row>
    <row r="937" spans="1:16" ht="12.5" x14ac:dyDescent="0.25">
      <c r="A937" s="1">
        <v>11036</v>
      </c>
      <c r="B937" s="1" t="s">
        <v>12</v>
      </c>
      <c r="C937" s="1" t="s">
        <v>13</v>
      </c>
      <c r="D937" t="s">
        <v>67</v>
      </c>
      <c r="E937" s="1">
        <v>150</v>
      </c>
      <c r="F937" s="1">
        <v>200</v>
      </c>
      <c r="G937" s="1">
        <v>706</v>
      </c>
      <c r="H937" s="1">
        <f>Int_breweries[[#This Row],[PLANT_COST]]*Int_breweries[[#This Row],[QUANTITY]]</f>
        <v>105900</v>
      </c>
      <c r="I937" s="1">
        <v>141200</v>
      </c>
      <c r="J937" s="1">
        <v>35300</v>
      </c>
      <c r="K937" s="1" t="s">
        <v>14</v>
      </c>
      <c r="L937" t="s">
        <v>60</v>
      </c>
      <c r="M937" s="1" t="s">
        <v>48</v>
      </c>
      <c r="N937" s="1">
        <v>2019</v>
      </c>
      <c r="O937" t="str" cm="1">
        <f t="array" ref="O937">_xlfn.IFS(OR($K937="Ghana", $K937="Nigeria"), "Anglophone", OR($K937="Togo", $K937="Benin", $K937="Senegal"), "Francophone")</f>
        <v>Anglophone</v>
      </c>
      <c r="P937" s="1" t="str">
        <f>LEFT(Int_breweries[[#This Row],[MONTHS]], 3)</f>
        <v>Dec</v>
      </c>
    </row>
    <row r="938" spans="1:16" ht="12.5" x14ac:dyDescent="0.25">
      <c r="A938" s="1">
        <v>11037</v>
      </c>
      <c r="B938" s="1" t="s">
        <v>12</v>
      </c>
      <c r="C938" s="1" t="s">
        <v>13</v>
      </c>
      <c r="D938" t="s">
        <v>68</v>
      </c>
      <c r="E938" s="1">
        <v>80</v>
      </c>
      <c r="F938" s="1">
        <v>150</v>
      </c>
      <c r="G938" s="1">
        <v>761</v>
      </c>
      <c r="H938" s="1">
        <f>Int_breweries[[#This Row],[PLANT_COST]]*Int_breweries[[#This Row],[QUANTITY]]</f>
        <v>60880</v>
      </c>
      <c r="I938" s="1">
        <v>114150</v>
      </c>
      <c r="J938" s="1">
        <v>53270</v>
      </c>
      <c r="K938" s="1" t="s">
        <v>19</v>
      </c>
      <c r="L938" t="s">
        <v>61</v>
      </c>
      <c r="M938" s="1" t="s">
        <v>16</v>
      </c>
      <c r="N938" s="1">
        <v>2019</v>
      </c>
      <c r="O938" t="str" cm="1">
        <f t="array" ref="O938">_xlfn.IFS(OR($K938="Ghana", $K938="Nigeria"), "Anglophone", OR($K938="Togo", $K938="Benin", $K938="Senegal"), "Francophone")</f>
        <v>Anglophone</v>
      </c>
      <c r="P938" s="1" t="str">
        <f>LEFT(Int_breweries[[#This Row],[MONTHS]], 3)</f>
        <v>Jan</v>
      </c>
    </row>
    <row r="939" spans="1:16" ht="12.5" x14ac:dyDescent="0.25">
      <c r="A939" s="1">
        <v>11038</v>
      </c>
      <c r="B939" s="1" t="s">
        <v>30</v>
      </c>
      <c r="C939" s="1" t="s">
        <v>31</v>
      </c>
      <c r="D939" t="s">
        <v>69</v>
      </c>
      <c r="E939" s="1">
        <v>90</v>
      </c>
      <c r="F939" s="1">
        <v>150</v>
      </c>
      <c r="G939" s="1">
        <v>849</v>
      </c>
      <c r="H939" s="1">
        <f>Int_breweries[[#This Row],[PLANT_COST]]*Int_breweries[[#This Row],[QUANTITY]]</f>
        <v>76410</v>
      </c>
      <c r="I939" s="1">
        <v>127350</v>
      </c>
      <c r="J939" s="1">
        <v>50940</v>
      </c>
      <c r="K939" s="1" t="s">
        <v>24</v>
      </c>
      <c r="L939" t="s">
        <v>62</v>
      </c>
      <c r="M939" s="1" t="s">
        <v>21</v>
      </c>
      <c r="N939" s="1">
        <v>2017</v>
      </c>
      <c r="O939" t="str" cm="1">
        <f t="array" ref="O939">_xlfn.IFS(OR($K939="Ghana", $K939="Nigeria"), "Anglophone", OR($K939="Togo", $K939="Benin", $K939="Senegal"), "Francophone")</f>
        <v>Francophone</v>
      </c>
      <c r="P939" s="1" t="str">
        <f>LEFT(Int_breweries[[#This Row],[MONTHS]], 3)</f>
        <v>Feb</v>
      </c>
    </row>
    <row r="940" spans="1:16" ht="12.5" x14ac:dyDescent="0.25">
      <c r="A940" s="1">
        <v>11039</v>
      </c>
      <c r="B940" s="1" t="s">
        <v>26</v>
      </c>
      <c r="C940" s="1" t="s">
        <v>27</v>
      </c>
      <c r="D940" t="s">
        <v>63</v>
      </c>
      <c r="E940" s="1">
        <v>150</v>
      </c>
      <c r="F940" s="1">
        <v>200</v>
      </c>
      <c r="G940" s="1">
        <v>914</v>
      </c>
      <c r="H940" s="1">
        <f>Int_breweries[[#This Row],[PLANT_COST]]*Int_breweries[[#This Row],[QUANTITY]]</f>
        <v>137100</v>
      </c>
      <c r="I940" s="1">
        <v>182800</v>
      </c>
      <c r="J940" s="1">
        <v>45700</v>
      </c>
      <c r="K940" s="1" t="s">
        <v>28</v>
      </c>
      <c r="L940" t="s">
        <v>15</v>
      </c>
      <c r="M940" s="1" t="s">
        <v>25</v>
      </c>
      <c r="N940" s="1">
        <v>2019</v>
      </c>
      <c r="O940" t="str" cm="1">
        <f t="array" ref="O940">_xlfn.IFS(OR($K940="Ghana", $K940="Nigeria"), "Anglophone", OR($K940="Togo", $K940="Benin", $K940="Senegal"), "Francophone")</f>
        <v>Francophone</v>
      </c>
      <c r="P940" s="1" t="str">
        <f>LEFT(Int_breweries[[#This Row],[MONTHS]], 3)</f>
        <v>Mar</v>
      </c>
    </row>
    <row r="941" spans="1:16" ht="12.5" x14ac:dyDescent="0.25">
      <c r="A941" s="1">
        <v>11040</v>
      </c>
      <c r="B941" s="1" t="s">
        <v>39</v>
      </c>
      <c r="C941" s="1" t="s">
        <v>40</v>
      </c>
      <c r="D941" t="s">
        <v>64</v>
      </c>
      <c r="E941" s="1">
        <v>250</v>
      </c>
      <c r="F941" s="1">
        <v>500</v>
      </c>
      <c r="G941" s="1">
        <v>942</v>
      </c>
      <c r="H941" s="1">
        <f>Int_breweries[[#This Row],[PLANT_COST]]*Int_breweries[[#This Row],[QUANTITY]]</f>
        <v>235500</v>
      </c>
      <c r="I941" s="1">
        <v>471000</v>
      </c>
      <c r="J941" s="1">
        <v>235500</v>
      </c>
      <c r="K941" s="1" t="s">
        <v>32</v>
      </c>
      <c r="L941" t="s">
        <v>58</v>
      </c>
      <c r="M941" s="1" t="s">
        <v>29</v>
      </c>
      <c r="N941" s="1">
        <v>2018</v>
      </c>
      <c r="O941" t="str" cm="1">
        <f t="array" ref="O941">_xlfn.IFS(OR($K941="Ghana", $K941="Nigeria"), "Anglophone", OR($K941="Togo", $K941="Benin", $K941="Senegal"), "Francophone")</f>
        <v>Francophone</v>
      </c>
      <c r="P941" s="1" t="str">
        <f>LEFT(Int_breweries[[#This Row],[MONTHS]], 3)</f>
        <v>Apr</v>
      </c>
    </row>
    <row r="942" spans="1:16" ht="12.5" x14ac:dyDescent="0.25">
      <c r="A942" s="1">
        <v>11041</v>
      </c>
      <c r="B942" s="1" t="s">
        <v>51</v>
      </c>
      <c r="C942" s="1" t="s">
        <v>52</v>
      </c>
      <c r="D942" t="s">
        <v>65</v>
      </c>
      <c r="E942" s="1">
        <v>180</v>
      </c>
      <c r="F942" s="1">
        <v>450</v>
      </c>
      <c r="G942" s="1">
        <v>930</v>
      </c>
      <c r="H942" s="1">
        <f>Int_breweries[[#This Row],[PLANT_COST]]*Int_breweries[[#This Row],[QUANTITY]]</f>
        <v>167400</v>
      </c>
      <c r="I942" s="1">
        <v>418500</v>
      </c>
      <c r="J942" s="1">
        <v>251100</v>
      </c>
      <c r="K942" s="1" t="s">
        <v>14</v>
      </c>
      <c r="L942" t="s">
        <v>59</v>
      </c>
      <c r="M942" s="1" t="s">
        <v>33</v>
      </c>
      <c r="N942" s="1">
        <v>2017</v>
      </c>
      <c r="O942" t="str" cm="1">
        <f t="array" ref="O942">_xlfn.IFS(OR($K942="Ghana", $K942="Nigeria"), "Anglophone", OR($K942="Togo", $K942="Benin", $K942="Senegal"), "Francophone")</f>
        <v>Anglophone</v>
      </c>
      <c r="P942" s="1" t="str">
        <f>LEFT(Int_breweries[[#This Row],[MONTHS]], 3)</f>
        <v>May</v>
      </c>
    </row>
    <row r="943" spans="1:16" ht="12.5" x14ac:dyDescent="0.25">
      <c r="A943" s="1">
        <v>11042</v>
      </c>
      <c r="B943" s="1" t="s">
        <v>22</v>
      </c>
      <c r="C943" s="1" t="s">
        <v>23</v>
      </c>
      <c r="D943" t="s">
        <v>66</v>
      </c>
      <c r="E943" s="1">
        <v>170</v>
      </c>
      <c r="F943" s="1">
        <v>250</v>
      </c>
      <c r="G943" s="1">
        <v>945</v>
      </c>
      <c r="H943" s="1">
        <f>Int_breweries[[#This Row],[PLANT_COST]]*Int_breweries[[#This Row],[QUANTITY]]</f>
        <v>160650</v>
      </c>
      <c r="I943" s="1">
        <v>236250</v>
      </c>
      <c r="J943" s="1">
        <v>75600</v>
      </c>
      <c r="K943" s="1" t="s">
        <v>19</v>
      </c>
      <c r="L943" t="s">
        <v>60</v>
      </c>
      <c r="M943" s="1" t="s">
        <v>34</v>
      </c>
      <c r="N943" s="1">
        <v>2018</v>
      </c>
      <c r="O943" t="str" cm="1">
        <f t="array" ref="O943">_xlfn.IFS(OR($K943="Ghana", $K943="Nigeria"), "Anglophone", OR($K943="Togo", $K943="Benin", $K943="Senegal"), "Francophone")</f>
        <v>Anglophone</v>
      </c>
      <c r="P943" s="1" t="str">
        <f>LEFT(Int_breweries[[#This Row],[MONTHS]], 3)</f>
        <v>Jun</v>
      </c>
    </row>
    <row r="944" spans="1:16" ht="12.5" x14ac:dyDescent="0.25">
      <c r="A944" s="1">
        <v>11043</v>
      </c>
      <c r="B944" s="1" t="s">
        <v>17</v>
      </c>
      <c r="C944" s="1" t="s">
        <v>18</v>
      </c>
      <c r="D944" t="s">
        <v>67</v>
      </c>
      <c r="E944" s="1">
        <v>150</v>
      </c>
      <c r="F944" s="1">
        <v>200</v>
      </c>
      <c r="G944" s="1">
        <v>775</v>
      </c>
      <c r="H944" s="1">
        <f>Int_breweries[[#This Row],[PLANT_COST]]*Int_breweries[[#This Row],[QUANTITY]]</f>
        <v>116250</v>
      </c>
      <c r="I944" s="1">
        <v>155000</v>
      </c>
      <c r="J944" s="1">
        <v>38750</v>
      </c>
      <c r="K944" s="1" t="s">
        <v>24</v>
      </c>
      <c r="L944" t="s">
        <v>61</v>
      </c>
      <c r="M944" s="1" t="s">
        <v>37</v>
      </c>
      <c r="N944" s="1">
        <v>2017</v>
      </c>
      <c r="O944" t="str" cm="1">
        <f t="array" ref="O944">_xlfn.IFS(OR($K944="Ghana", $K944="Nigeria"), "Anglophone", OR($K944="Togo", $K944="Benin", $K944="Senegal"), "Francophone")</f>
        <v>Francophone</v>
      </c>
      <c r="P944" s="1" t="str">
        <f>LEFT(Int_breweries[[#This Row],[MONTHS]], 3)</f>
        <v>Jul</v>
      </c>
    </row>
    <row r="945" spans="1:16" ht="12.5" x14ac:dyDescent="0.25">
      <c r="A945" s="1">
        <v>11044</v>
      </c>
      <c r="B945" s="1" t="s">
        <v>22</v>
      </c>
      <c r="C945" s="1" t="s">
        <v>23</v>
      </c>
      <c r="D945" t="s">
        <v>68</v>
      </c>
      <c r="E945" s="1">
        <v>80</v>
      </c>
      <c r="F945" s="1">
        <v>150</v>
      </c>
      <c r="G945" s="1">
        <v>729</v>
      </c>
      <c r="H945" s="1">
        <f>Int_breweries[[#This Row],[PLANT_COST]]*Int_breweries[[#This Row],[QUANTITY]]</f>
        <v>58320</v>
      </c>
      <c r="I945" s="1">
        <v>109350</v>
      </c>
      <c r="J945" s="1">
        <v>51030</v>
      </c>
      <c r="K945" s="1" t="s">
        <v>28</v>
      </c>
      <c r="L945" t="s">
        <v>62</v>
      </c>
      <c r="M945" s="1" t="s">
        <v>38</v>
      </c>
      <c r="N945" s="1">
        <v>2017</v>
      </c>
      <c r="O945" t="str" cm="1">
        <f t="array" ref="O945">_xlfn.IFS(OR($K945="Ghana", $K945="Nigeria"), "Anglophone", OR($K945="Togo", $K945="Benin", $K945="Senegal"), "Francophone")</f>
        <v>Francophone</v>
      </c>
      <c r="P945" s="1" t="str">
        <f>LEFT(Int_breweries[[#This Row],[MONTHS]], 3)</f>
        <v>Aug</v>
      </c>
    </row>
    <row r="946" spans="1:16" ht="12.5" x14ac:dyDescent="0.25">
      <c r="A946" s="1">
        <v>11045</v>
      </c>
      <c r="B946" s="1" t="s">
        <v>35</v>
      </c>
      <c r="C946" s="1" t="s">
        <v>36</v>
      </c>
      <c r="D946" t="s">
        <v>69</v>
      </c>
      <c r="E946" s="1">
        <v>90</v>
      </c>
      <c r="F946" s="1">
        <v>150</v>
      </c>
      <c r="G946" s="1">
        <v>941</v>
      </c>
      <c r="H946" s="1">
        <f>Int_breweries[[#This Row],[PLANT_COST]]*Int_breweries[[#This Row],[QUANTITY]]</f>
        <v>84690</v>
      </c>
      <c r="I946" s="1">
        <v>141150</v>
      </c>
      <c r="J946" s="1">
        <v>56460</v>
      </c>
      <c r="K946" s="1" t="s">
        <v>32</v>
      </c>
      <c r="L946" t="s">
        <v>15</v>
      </c>
      <c r="M946" s="1" t="s">
        <v>41</v>
      </c>
      <c r="N946" s="1">
        <v>2019</v>
      </c>
      <c r="O946" t="str" cm="1">
        <f t="array" ref="O946">_xlfn.IFS(OR($K946="Ghana", $K946="Nigeria"), "Anglophone", OR($K946="Togo", $K946="Benin", $K946="Senegal"), "Francophone")</f>
        <v>Francophone</v>
      </c>
      <c r="P946" s="1" t="str">
        <f>LEFT(Int_breweries[[#This Row],[MONTHS]], 3)</f>
        <v>Sep</v>
      </c>
    </row>
    <row r="947" spans="1:16" ht="12.5" x14ac:dyDescent="0.25">
      <c r="A947" s="1">
        <v>11046</v>
      </c>
      <c r="B947" s="1" t="s">
        <v>30</v>
      </c>
      <c r="C947" s="1" t="s">
        <v>31</v>
      </c>
      <c r="D947" t="s">
        <v>63</v>
      </c>
      <c r="E947" s="1">
        <v>150</v>
      </c>
      <c r="F947" s="1">
        <v>200</v>
      </c>
      <c r="G947" s="1">
        <v>735</v>
      </c>
      <c r="H947" s="1">
        <f>Int_breweries[[#This Row],[PLANT_COST]]*Int_breweries[[#This Row],[QUANTITY]]</f>
        <v>110250</v>
      </c>
      <c r="I947" s="1">
        <v>147000</v>
      </c>
      <c r="J947" s="1">
        <v>36750</v>
      </c>
      <c r="K947" s="1" t="s">
        <v>14</v>
      </c>
      <c r="L947" t="s">
        <v>58</v>
      </c>
      <c r="M947" s="1" t="s">
        <v>44</v>
      </c>
      <c r="N947" s="1">
        <v>2017</v>
      </c>
      <c r="O947" t="str" cm="1">
        <f t="array" ref="O947">_xlfn.IFS(OR($K947="Ghana", $K947="Nigeria"), "Anglophone", OR($K947="Togo", $K947="Benin", $K947="Senegal"), "Francophone")</f>
        <v>Anglophone</v>
      </c>
      <c r="P947" s="1" t="str">
        <f>LEFT(Int_breweries[[#This Row],[MONTHS]], 3)</f>
        <v>Oct</v>
      </c>
    </row>
    <row r="948" spans="1:16" ht="12.5" x14ac:dyDescent="0.25">
      <c r="A948" s="1">
        <v>11047</v>
      </c>
      <c r="B948" s="1" t="s">
        <v>12</v>
      </c>
      <c r="C948" s="1" t="s">
        <v>13</v>
      </c>
      <c r="D948" t="s">
        <v>64</v>
      </c>
      <c r="E948" s="1">
        <v>250</v>
      </c>
      <c r="F948" s="1">
        <v>500</v>
      </c>
      <c r="G948" s="1">
        <v>727</v>
      </c>
      <c r="H948" s="1">
        <f>Int_breweries[[#This Row],[PLANT_COST]]*Int_breweries[[#This Row],[QUANTITY]]</f>
        <v>181750</v>
      </c>
      <c r="I948" s="1">
        <v>363500</v>
      </c>
      <c r="J948" s="1">
        <v>181750</v>
      </c>
      <c r="K948" s="1" t="s">
        <v>19</v>
      </c>
      <c r="L948" t="s">
        <v>59</v>
      </c>
      <c r="M948" s="1" t="s">
        <v>47</v>
      </c>
      <c r="N948" s="1">
        <v>2018</v>
      </c>
      <c r="O948" t="str" cm="1">
        <f t="array" ref="O948">_xlfn.IFS(OR($K948="Ghana", $K948="Nigeria"), "Anglophone", OR($K948="Togo", $K948="Benin", $K948="Senegal"), "Francophone")</f>
        <v>Anglophone</v>
      </c>
      <c r="P948" s="1" t="str">
        <f>LEFT(Int_breweries[[#This Row],[MONTHS]], 3)</f>
        <v>Nov</v>
      </c>
    </row>
    <row r="949" spans="1:16" ht="12.5" x14ac:dyDescent="0.25">
      <c r="A949" s="1">
        <v>11048</v>
      </c>
      <c r="B949" s="1" t="s">
        <v>12</v>
      </c>
      <c r="C949" s="1" t="s">
        <v>13</v>
      </c>
      <c r="D949" t="s">
        <v>65</v>
      </c>
      <c r="E949" s="1">
        <v>180</v>
      </c>
      <c r="F949" s="1">
        <v>450</v>
      </c>
      <c r="G949" s="1">
        <v>859</v>
      </c>
      <c r="H949" s="1">
        <f>Int_breweries[[#This Row],[PLANT_COST]]*Int_breweries[[#This Row],[QUANTITY]]</f>
        <v>154620</v>
      </c>
      <c r="I949" s="1">
        <v>386550</v>
      </c>
      <c r="J949" s="1">
        <v>231930</v>
      </c>
      <c r="K949" s="1" t="s">
        <v>24</v>
      </c>
      <c r="L949" t="s">
        <v>60</v>
      </c>
      <c r="M949" s="1" t="s">
        <v>48</v>
      </c>
      <c r="N949" s="1">
        <v>2018</v>
      </c>
      <c r="O949" t="str" cm="1">
        <f t="array" ref="O949">_xlfn.IFS(OR($K949="Ghana", $K949="Nigeria"), "Anglophone", OR($K949="Togo", $K949="Benin", $K949="Senegal"), "Francophone")</f>
        <v>Francophone</v>
      </c>
      <c r="P949" s="1" t="str">
        <f>LEFT(Int_breweries[[#This Row],[MONTHS]], 3)</f>
        <v>Dec</v>
      </c>
    </row>
    <row r="950" spans="1:16" ht="12.5" x14ac:dyDescent="0.25">
      <c r="A950" s="1">
        <v>11049</v>
      </c>
      <c r="B950" s="1" t="s">
        <v>30</v>
      </c>
      <c r="C950" s="1" t="s">
        <v>31</v>
      </c>
      <c r="D950" t="s">
        <v>66</v>
      </c>
      <c r="E950" s="1">
        <v>170</v>
      </c>
      <c r="F950" s="1">
        <v>250</v>
      </c>
      <c r="G950" s="1">
        <v>792</v>
      </c>
      <c r="H950" s="1">
        <f>Int_breweries[[#This Row],[PLANT_COST]]*Int_breweries[[#This Row],[QUANTITY]]</f>
        <v>134640</v>
      </c>
      <c r="I950" s="1">
        <v>198000</v>
      </c>
      <c r="J950" s="1">
        <v>63360</v>
      </c>
      <c r="K950" s="1" t="s">
        <v>28</v>
      </c>
      <c r="L950" t="s">
        <v>61</v>
      </c>
      <c r="M950" s="1" t="s">
        <v>16</v>
      </c>
      <c r="N950" s="1">
        <v>2017</v>
      </c>
      <c r="O950" t="str" cm="1">
        <f t="array" ref="O950">_xlfn.IFS(OR($K950="Ghana", $K950="Nigeria"), "Anglophone", OR($K950="Togo", $K950="Benin", $K950="Senegal"), "Francophone")</f>
        <v>Francophone</v>
      </c>
      <c r="P950" s="1" t="str">
        <f>LEFT(Int_breweries[[#This Row],[MONTHS]], 3)</f>
        <v>Jan</v>
      </c>
    </row>
    <row r="951" spans="1:16" ht="12.5" x14ac:dyDescent="0.25">
      <c r="A951" s="1">
        <v>11050</v>
      </c>
      <c r="B951" s="1" t="s">
        <v>12</v>
      </c>
      <c r="C951" s="1" t="s">
        <v>13</v>
      </c>
      <c r="D951" t="s">
        <v>67</v>
      </c>
      <c r="E951" s="1">
        <v>150</v>
      </c>
      <c r="F951" s="1">
        <v>200</v>
      </c>
      <c r="G951" s="1">
        <v>874</v>
      </c>
      <c r="H951" s="1">
        <f>Int_breweries[[#This Row],[PLANT_COST]]*Int_breweries[[#This Row],[QUANTITY]]</f>
        <v>131100</v>
      </c>
      <c r="I951" s="1">
        <v>174800</v>
      </c>
      <c r="J951" s="1">
        <v>43700</v>
      </c>
      <c r="K951" s="1" t="s">
        <v>32</v>
      </c>
      <c r="L951" t="s">
        <v>62</v>
      </c>
      <c r="M951" s="1" t="s">
        <v>21</v>
      </c>
      <c r="N951" s="1">
        <v>2017</v>
      </c>
      <c r="O951" t="str" cm="1">
        <f t="array" ref="O951">_xlfn.IFS(OR($K951="Ghana", $K951="Nigeria"), "Anglophone", OR($K951="Togo", $K951="Benin", $K951="Senegal"), "Francophone")</f>
        <v>Francophone</v>
      </c>
      <c r="P951" s="1" t="str">
        <f>LEFT(Int_breweries[[#This Row],[MONTHS]], 3)</f>
        <v>Feb</v>
      </c>
    </row>
    <row r="952" spans="1:16" ht="12.5" x14ac:dyDescent="0.25">
      <c r="A952" s="1">
        <v>11051</v>
      </c>
      <c r="B952" s="1" t="s">
        <v>17</v>
      </c>
      <c r="C952" s="1" t="s">
        <v>18</v>
      </c>
      <c r="D952" t="s">
        <v>68</v>
      </c>
      <c r="E952" s="1">
        <v>80</v>
      </c>
      <c r="F952" s="1">
        <v>150</v>
      </c>
      <c r="G952" s="1">
        <v>792</v>
      </c>
      <c r="H952" s="1">
        <f>Int_breweries[[#This Row],[PLANT_COST]]*Int_breweries[[#This Row],[QUANTITY]]</f>
        <v>63360</v>
      </c>
      <c r="I952" s="1">
        <v>118800</v>
      </c>
      <c r="J952" s="1">
        <v>55440</v>
      </c>
      <c r="K952" s="1" t="s">
        <v>14</v>
      </c>
      <c r="L952" t="s">
        <v>15</v>
      </c>
      <c r="M952" s="1" t="s">
        <v>25</v>
      </c>
      <c r="N952" s="1">
        <v>2019</v>
      </c>
      <c r="O952" t="str" cm="1">
        <f t="array" ref="O952">_xlfn.IFS(OR($K952="Ghana", $K952="Nigeria"), "Anglophone", OR($K952="Togo", $K952="Benin", $K952="Senegal"), "Francophone")</f>
        <v>Anglophone</v>
      </c>
      <c r="P952" s="1" t="str">
        <f>LEFT(Int_breweries[[#This Row],[MONTHS]], 3)</f>
        <v>Mar</v>
      </c>
    </row>
    <row r="953" spans="1:16" ht="12.5" x14ac:dyDescent="0.25">
      <c r="A953" s="1">
        <v>11052</v>
      </c>
      <c r="B953" s="1" t="s">
        <v>22</v>
      </c>
      <c r="C953" s="1" t="s">
        <v>23</v>
      </c>
      <c r="D953" t="s">
        <v>69</v>
      </c>
      <c r="E953" s="1">
        <v>90</v>
      </c>
      <c r="F953" s="1">
        <v>150</v>
      </c>
      <c r="G953" s="1">
        <v>822</v>
      </c>
      <c r="H953" s="1">
        <f>Int_breweries[[#This Row],[PLANT_COST]]*Int_breweries[[#This Row],[QUANTITY]]</f>
        <v>73980</v>
      </c>
      <c r="I953" s="1">
        <v>123300</v>
      </c>
      <c r="J953" s="1">
        <v>49320</v>
      </c>
      <c r="K953" s="1" t="s">
        <v>19</v>
      </c>
      <c r="L953" t="s">
        <v>58</v>
      </c>
      <c r="M953" s="1" t="s">
        <v>29</v>
      </c>
      <c r="N953" s="1">
        <v>2018</v>
      </c>
      <c r="O953" t="str" cm="1">
        <f t="array" ref="O953">_xlfn.IFS(OR($K953="Ghana", $K953="Nigeria"), "Anglophone", OR($K953="Togo", $K953="Benin", $K953="Senegal"), "Francophone")</f>
        <v>Anglophone</v>
      </c>
      <c r="P953" s="1" t="str">
        <f>LEFT(Int_breweries[[#This Row],[MONTHS]], 3)</f>
        <v>Apr</v>
      </c>
    </row>
    <row r="954" spans="1:16" ht="12.5" x14ac:dyDescent="0.25">
      <c r="A954" s="1">
        <v>11053</v>
      </c>
      <c r="B954" s="1" t="s">
        <v>26</v>
      </c>
      <c r="C954" s="1" t="s">
        <v>27</v>
      </c>
      <c r="D954" t="s">
        <v>63</v>
      </c>
      <c r="E954" s="1">
        <v>150</v>
      </c>
      <c r="F954" s="1">
        <v>200</v>
      </c>
      <c r="G954" s="1">
        <v>912</v>
      </c>
      <c r="H954" s="1">
        <f>Int_breweries[[#This Row],[PLANT_COST]]*Int_breweries[[#This Row],[QUANTITY]]</f>
        <v>136800</v>
      </c>
      <c r="I954" s="1">
        <v>182400</v>
      </c>
      <c r="J954" s="1">
        <v>45600</v>
      </c>
      <c r="K954" s="1" t="s">
        <v>24</v>
      </c>
      <c r="L954" t="s">
        <v>59</v>
      </c>
      <c r="M954" s="1" t="s">
        <v>33</v>
      </c>
      <c r="N954" s="1">
        <v>2017</v>
      </c>
      <c r="O954" t="str" cm="1">
        <f t="array" ref="O954">_xlfn.IFS(OR($K954="Ghana", $K954="Nigeria"), "Anglophone", OR($K954="Togo", $K954="Benin", $K954="Senegal"), "Francophone")</f>
        <v>Francophone</v>
      </c>
      <c r="P954" s="1" t="str">
        <f>LEFT(Int_breweries[[#This Row],[MONTHS]], 3)</f>
        <v>May</v>
      </c>
    </row>
    <row r="955" spans="1:16" ht="12.5" x14ac:dyDescent="0.25">
      <c r="A955" s="1">
        <v>11054</v>
      </c>
      <c r="B955" s="1" t="s">
        <v>30</v>
      </c>
      <c r="C955" s="1" t="s">
        <v>31</v>
      </c>
      <c r="D955" t="s">
        <v>64</v>
      </c>
      <c r="E955" s="1">
        <v>250</v>
      </c>
      <c r="F955" s="1">
        <v>500</v>
      </c>
      <c r="G955" s="1">
        <v>759</v>
      </c>
      <c r="H955" s="1">
        <f>Int_breweries[[#This Row],[PLANT_COST]]*Int_breweries[[#This Row],[QUANTITY]]</f>
        <v>189750</v>
      </c>
      <c r="I955" s="1">
        <v>379500</v>
      </c>
      <c r="J955" s="1">
        <v>189750</v>
      </c>
      <c r="K955" s="1" t="s">
        <v>28</v>
      </c>
      <c r="L955" t="s">
        <v>60</v>
      </c>
      <c r="M955" s="1" t="s">
        <v>34</v>
      </c>
      <c r="N955" s="1">
        <v>2017</v>
      </c>
      <c r="O955" t="str" cm="1">
        <f t="array" ref="O955">_xlfn.IFS(OR($K955="Ghana", $K955="Nigeria"), "Anglophone", OR($K955="Togo", $K955="Benin", $K955="Senegal"), "Francophone")</f>
        <v>Francophone</v>
      </c>
      <c r="P955" s="1" t="str">
        <f>LEFT(Int_breweries[[#This Row],[MONTHS]], 3)</f>
        <v>Jun</v>
      </c>
    </row>
    <row r="956" spans="1:16" ht="12.5" x14ac:dyDescent="0.25">
      <c r="A956" s="1">
        <v>11055</v>
      </c>
      <c r="B956" s="1" t="s">
        <v>12</v>
      </c>
      <c r="C956" s="1" t="s">
        <v>13</v>
      </c>
      <c r="D956" t="s">
        <v>65</v>
      </c>
      <c r="E956" s="1">
        <v>180</v>
      </c>
      <c r="F956" s="1">
        <v>450</v>
      </c>
      <c r="G956" s="1">
        <v>858</v>
      </c>
      <c r="H956" s="1">
        <f>Int_breweries[[#This Row],[PLANT_COST]]*Int_breweries[[#This Row],[QUANTITY]]</f>
        <v>154440</v>
      </c>
      <c r="I956" s="1">
        <v>386100</v>
      </c>
      <c r="J956" s="1">
        <v>231660</v>
      </c>
      <c r="K956" s="1" t="s">
        <v>32</v>
      </c>
      <c r="L956" t="s">
        <v>61</v>
      </c>
      <c r="M956" s="1" t="s">
        <v>37</v>
      </c>
      <c r="N956" s="1">
        <v>2017</v>
      </c>
      <c r="O956" t="str" cm="1">
        <f t="array" ref="O956">_xlfn.IFS(OR($K956="Ghana", $K956="Nigeria"), "Anglophone", OR($K956="Togo", $K956="Benin", $K956="Senegal"), "Francophone")</f>
        <v>Francophone</v>
      </c>
      <c r="P956" s="1" t="str">
        <f>LEFT(Int_breweries[[#This Row],[MONTHS]], 3)</f>
        <v>Jul</v>
      </c>
    </row>
    <row r="957" spans="1:16" ht="12.5" x14ac:dyDescent="0.25">
      <c r="A957" s="1">
        <v>11056</v>
      </c>
      <c r="B957" s="1" t="s">
        <v>35</v>
      </c>
      <c r="C957" s="1" t="s">
        <v>36</v>
      </c>
      <c r="D957" t="s">
        <v>66</v>
      </c>
      <c r="E957" s="1">
        <v>170</v>
      </c>
      <c r="F957" s="1">
        <v>250</v>
      </c>
      <c r="G957" s="1">
        <v>921</v>
      </c>
      <c r="H957" s="1">
        <f>Int_breweries[[#This Row],[PLANT_COST]]*Int_breweries[[#This Row],[QUANTITY]]</f>
        <v>156570</v>
      </c>
      <c r="I957" s="1">
        <v>230250</v>
      </c>
      <c r="J957" s="1">
        <v>73680</v>
      </c>
      <c r="K957" s="1" t="s">
        <v>14</v>
      </c>
      <c r="L957" t="s">
        <v>62</v>
      </c>
      <c r="M957" s="1" t="s">
        <v>38</v>
      </c>
      <c r="N957" s="1">
        <v>2018</v>
      </c>
      <c r="O957" t="str" cm="1">
        <f t="array" ref="O957">_xlfn.IFS(OR($K957="Ghana", $K957="Nigeria"), "Anglophone", OR($K957="Togo", $K957="Benin", $K957="Senegal"), "Francophone")</f>
        <v>Anglophone</v>
      </c>
      <c r="P957" s="1" t="str">
        <f>LEFT(Int_breweries[[#This Row],[MONTHS]], 3)</f>
        <v>Aug</v>
      </c>
    </row>
    <row r="958" spans="1:16" ht="12.5" x14ac:dyDescent="0.25">
      <c r="A958" s="1">
        <v>11057</v>
      </c>
      <c r="B958" s="1" t="s">
        <v>26</v>
      </c>
      <c r="C958" s="1" t="s">
        <v>27</v>
      </c>
      <c r="D958" t="s">
        <v>67</v>
      </c>
      <c r="E958" s="1">
        <v>150</v>
      </c>
      <c r="F958" s="1">
        <v>200</v>
      </c>
      <c r="G958" s="1">
        <v>871</v>
      </c>
      <c r="H958" s="1">
        <f>Int_breweries[[#This Row],[PLANT_COST]]*Int_breweries[[#This Row],[QUANTITY]]</f>
        <v>130650</v>
      </c>
      <c r="I958" s="1">
        <v>174200</v>
      </c>
      <c r="J958" s="1">
        <v>43550</v>
      </c>
      <c r="K958" s="1" t="s">
        <v>19</v>
      </c>
      <c r="L958" t="s">
        <v>15</v>
      </c>
      <c r="M958" s="1" t="s">
        <v>41</v>
      </c>
      <c r="N958" s="1">
        <v>2019</v>
      </c>
      <c r="O958" t="str" cm="1">
        <f t="array" ref="O958">_xlfn.IFS(OR($K958="Ghana", $K958="Nigeria"), "Anglophone", OR($K958="Togo", $K958="Benin", $K958="Senegal"), "Francophone")</f>
        <v>Anglophone</v>
      </c>
      <c r="P958" s="1" t="str">
        <f>LEFT(Int_breweries[[#This Row],[MONTHS]], 3)</f>
        <v>Sep</v>
      </c>
    </row>
    <row r="959" spans="1:16" ht="12.5" x14ac:dyDescent="0.25">
      <c r="A959" s="1">
        <v>11058</v>
      </c>
      <c r="B959" s="1" t="s">
        <v>39</v>
      </c>
      <c r="C959" s="1" t="s">
        <v>40</v>
      </c>
      <c r="D959" t="s">
        <v>68</v>
      </c>
      <c r="E959" s="1">
        <v>80</v>
      </c>
      <c r="F959" s="1">
        <v>150</v>
      </c>
      <c r="G959" s="1">
        <v>836</v>
      </c>
      <c r="H959" s="1">
        <f>Int_breweries[[#This Row],[PLANT_COST]]*Int_breweries[[#This Row],[QUANTITY]]</f>
        <v>66880</v>
      </c>
      <c r="I959" s="1">
        <v>125400</v>
      </c>
      <c r="J959" s="1">
        <v>58520</v>
      </c>
      <c r="K959" s="1" t="s">
        <v>24</v>
      </c>
      <c r="L959" t="s">
        <v>58</v>
      </c>
      <c r="M959" s="1" t="s">
        <v>44</v>
      </c>
      <c r="N959" s="1">
        <v>2018</v>
      </c>
      <c r="O959" t="str" cm="1">
        <f t="array" ref="O959">_xlfn.IFS(OR($K959="Ghana", $K959="Nigeria"), "Anglophone", OR($K959="Togo", $K959="Benin", $K959="Senegal"), "Francophone")</f>
        <v>Francophone</v>
      </c>
      <c r="P959" s="1" t="str">
        <f>LEFT(Int_breweries[[#This Row],[MONTHS]], 3)</f>
        <v>Oct</v>
      </c>
    </row>
    <row r="960" spans="1:16" ht="12.5" x14ac:dyDescent="0.25">
      <c r="A960" s="1">
        <v>11059</v>
      </c>
      <c r="B960" s="1" t="s">
        <v>42</v>
      </c>
      <c r="C960" s="1" t="s">
        <v>43</v>
      </c>
      <c r="D960" t="s">
        <v>69</v>
      </c>
      <c r="E960" s="1">
        <v>90</v>
      </c>
      <c r="F960" s="1">
        <v>150</v>
      </c>
      <c r="G960" s="1">
        <v>861</v>
      </c>
      <c r="H960" s="1">
        <f>Int_breweries[[#This Row],[PLANT_COST]]*Int_breweries[[#This Row],[QUANTITY]]</f>
        <v>77490</v>
      </c>
      <c r="I960" s="1">
        <v>129150</v>
      </c>
      <c r="J960" s="1">
        <v>51660</v>
      </c>
      <c r="K960" s="1" t="s">
        <v>28</v>
      </c>
      <c r="L960" t="s">
        <v>59</v>
      </c>
      <c r="M960" s="1" t="s">
        <v>47</v>
      </c>
      <c r="N960" s="1">
        <v>2019</v>
      </c>
      <c r="O960" t="str" cm="1">
        <f t="array" ref="O960">_xlfn.IFS(OR($K960="Ghana", $K960="Nigeria"), "Anglophone", OR($K960="Togo", $K960="Benin", $K960="Senegal"), "Francophone")</f>
        <v>Francophone</v>
      </c>
      <c r="P960" s="1" t="str">
        <f>LEFT(Int_breweries[[#This Row],[MONTHS]], 3)</f>
        <v>Nov</v>
      </c>
    </row>
    <row r="961" spans="1:16" ht="12.5" x14ac:dyDescent="0.25">
      <c r="A961" s="1">
        <v>11060</v>
      </c>
      <c r="B961" s="1" t="s">
        <v>45</v>
      </c>
      <c r="C961" s="1" t="s">
        <v>46</v>
      </c>
      <c r="D961" t="s">
        <v>63</v>
      </c>
      <c r="E961" s="1">
        <v>150</v>
      </c>
      <c r="F961" s="1">
        <v>200</v>
      </c>
      <c r="G961" s="1">
        <v>711</v>
      </c>
      <c r="H961" s="1">
        <f>Int_breweries[[#This Row],[PLANT_COST]]*Int_breweries[[#This Row],[QUANTITY]]</f>
        <v>106650</v>
      </c>
      <c r="I961" s="1">
        <v>142200</v>
      </c>
      <c r="J961" s="1">
        <v>35550</v>
      </c>
      <c r="K961" s="1" t="s">
        <v>32</v>
      </c>
      <c r="L961" t="s">
        <v>60</v>
      </c>
      <c r="M961" s="1" t="s">
        <v>48</v>
      </c>
      <c r="N961" s="1">
        <v>2019</v>
      </c>
      <c r="O961" t="str" cm="1">
        <f t="array" ref="O961">_xlfn.IFS(OR($K961="Ghana", $K961="Nigeria"), "Anglophone", OR($K961="Togo", $K961="Benin", $K961="Senegal"), "Francophone")</f>
        <v>Francophone</v>
      </c>
      <c r="P961" s="1" t="str">
        <f>LEFT(Int_breweries[[#This Row],[MONTHS]], 3)</f>
        <v>Dec</v>
      </c>
    </row>
    <row r="962" spans="1:16" ht="12.5" x14ac:dyDescent="0.25">
      <c r="A962" s="1">
        <v>11061</v>
      </c>
      <c r="B962" s="1" t="s">
        <v>26</v>
      </c>
      <c r="C962" s="1" t="s">
        <v>27</v>
      </c>
      <c r="D962" t="s">
        <v>64</v>
      </c>
      <c r="E962" s="1">
        <v>250</v>
      </c>
      <c r="F962" s="1">
        <v>500</v>
      </c>
      <c r="G962" s="1">
        <v>834</v>
      </c>
      <c r="H962" s="1">
        <f>Int_breweries[[#This Row],[PLANT_COST]]*Int_breweries[[#This Row],[QUANTITY]]</f>
        <v>208500</v>
      </c>
      <c r="I962" s="1">
        <v>417000</v>
      </c>
      <c r="J962" s="1">
        <v>208500</v>
      </c>
      <c r="K962" s="1" t="s">
        <v>14</v>
      </c>
      <c r="L962" t="s">
        <v>61</v>
      </c>
      <c r="M962" s="1" t="s">
        <v>16</v>
      </c>
      <c r="N962" s="1">
        <v>2019</v>
      </c>
      <c r="O962" t="str" cm="1">
        <f t="array" ref="O962">_xlfn.IFS(OR($K962="Ghana", $K962="Nigeria"), "Anglophone", OR($K962="Togo", $K962="Benin", $K962="Senegal"), "Francophone")</f>
        <v>Anglophone</v>
      </c>
      <c r="P962" s="1" t="str">
        <f>LEFT(Int_breweries[[#This Row],[MONTHS]], 3)</f>
        <v>Jan</v>
      </c>
    </row>
    <row r="963" spans="1:16" ht="12.5" x14ac:dyDescent="0.25">
      <c r="A963" s="1">
        <v>11062</v>
      </c>
      <c r="B963" s="1" t="s">
        <v>49</v>
      </c>
      <c r="C963" s="1" t="s">
        <v>50</v>
      </c>
      <c r="D963" t="s">
        <v>65</v>
      </c>
      <c r="E963" s="1">
        <v>180</v>
      </c>
      <c r="F963" s="1">
        <v>450</v>
      </c>
      <c r="G963" s="1">
        <v>979</v>
      </c>
      <c r="H963" s="1">
        <f>Int_breweries[[#This Row],[PLANT_COST]]*Int_breweries[[#This Row],[QUANTITY]]</f>
        <v>176220</v>
      </c>
      <c r="I963" s="1">
        <v>440550</v>
      </c>
      <c r="J963" s="1">
        <v>264330</v>
      </c>
      <c r="K963" s="1" t="s">
        <v>19</v>
      </c>
      <c r="L963" t="s">
        <v>62</v>
      </c>
      <c r="M963" s="1" t="s">
        <v>21</v>
      </c>
      <c r="N963" s="1">
        <v>2018</v>
      </c>
      <c r="O963" t="str" cm="1">
        <f t="array" ref="O963">_xlfn.IFS(OR($K963="Ghana", $K963="Nigeria"), "Anglophone", OR($K963="Togo", $K963="Benin", $K963="Senegal"), "Francophone")</f>
        <v>Anglophone</v>
      </c>
      <c r="P963" s="1" t="str">
        <f>LEFT(Int_breweries[[#This Row],[MONTHS]], 3)</f>
        <v>Feb</v>
      </c>
    </row>
    <row r="964" spans="1:16" ht="12.5" x14ac:dyDescent="0.25">
      <c r="A964" s="1">
        <v>11063</v>
      </c>
      <c r="B964" s="1" t="s">
        <v>26</v>
      </c>
      <c r="C964" s="1" t="s">
        <v>27</v>
      </c>
      <c r="D964" t="s">
        <v>66</v>
      </c>
      <c r="E964" s="1">
        <v>170</v>
      </c>
      <c r="F964" s="1">
        <v>250</v>
      </c>
      <c r="G964" s="1">
        <v>858</v>
      </c>
      <c r="H964" s="1">
        <f>Int_breweries[[#This Row],[PLANT_COST]]*Int_breweries[[#This Row],[QUANTITY]]</f>
        <v>145860</v>
      </c>
      <c r="I964" s="1">
        <v>214500</v>
      </c>
      <c r="J964" s="1">
        <v>68640</v>
      </c>
      <c r="K964" s="1" t="s">
        <v>24</v>
      </c>
      <c r="L964" t="s">
        <v>15</v>
      </c>
      <c r="M964" s="1" t="s">
        <v>25</v>
      </c>
      <c r="N964" s="1">
        <v>2019</v>
      </c>
      <c r="O964" t="str" cm="1">
        <f t="array" ref="O964">_xlfn.IFS(OR($K964="Ghana", $K964="Nigeria"), "Anglophone", OR($K964="Togo", $K964="Benin", $K964="Senegal"), "Francophone")</f>
        <v>Francophone</v>
      </c>
      <c r="P964" s="1" t="str">
        <f>LEFT(Int_breweries[[#This Row],[MONTHS]], 3)</f>
        <v>Mar</v>
      </c>
    </row>
    <row r="965" spans="1:16" ht="12.5" x14ac:dyDescent="0.25">
      <c r="A965" s="1">
        <v>11064</v>
      </c>
      <c r="B965" s="1" t="s">
        <v>12</v>
      </c>
      <c r="C965" s="1" t="s">
        <v>13</v>
      </c>
      <c r="D965" t="s">
        <v>67</v>
      </c>
      <c r="E965" s="1">
        <v>150</v>
      </c>
      <c r="F965" s="1">
        <v>200</v>
      </c>
      <c r="G965" s="1">
        <v>737</v>
      </c>
      <c r="H965" s="1">
        <f>Int_breweries[[#This Row],[PLANT_COST]]*Int_breweries[[#This Row],[QUANTITY]]</f>
        <v>110550</v>
      </c>
      <c r="I965" s="1">
        <v>147400</v>
      </c>
      <c r="J965" s="1">
        <v>36850</v>
      </c>
      <c r="K965" s="1" t="s">
        <v>28</v>
      </c>
      <c r="L965" t="s">
        <v>58</v>
      </c>
      <c r="M965" s="1" t="s">
        <v>29</v>
      </c>
      <c r="N965" s="1">
        <v>2017</v>
      </c>
      <c r="O965" t="str" cm="1">
        <f t="array" ref="O965">_xlfn.IFS(OR($K965="Ghana", $K965="Nigeria"), "Anglophone", OR($K965="Togo", $K965="Benin", $K965="Senegal"), "Francophone")</f>
        <v>Francophone</v>
      </c>
      <c r="P965" s="1" t="str">
        <f>LEFT(Int_breweries[[#This Row],[MONTHS]], 3)</f>
        <v>Apr</v>
      </c>
    </row>
    <row r="966" spans="1:16" ht="12.5" x14ac:dyDescent="0.25">
      <c r="A966" s="1">
        <v>11065</v>
      </c>
      <c r="B966" s="1" t="s">
        <v>17</v>
      </c>
      <c r="C966" s="1" t="s">
        <v>18</v>
      </c>
      <c r="D966" t="s">
        <v>68</v>
      </c>
      <c r="E966" s="1">
        <v>80</v>
      </c>
      <c r="F966" s="1">
        <v>150</v>
      </c>
      <c r="G966" s="1">
        <v>800</v>
      </c>
      <c r="H966" s="1">
        <f>Int_breweries[[#This Row],[PLANT_COST]]*Int_breweries[[#This Row],[QUANTITY]]</f>
        <v>64000</v>
      </c>
      <c r="I966" s="1">
        <v>120000</v>
      </c>
      <c r="J966" s="1">
        <v>56000</v>
      </c>
      <c r="K966" s="1" t="s">
        <v>32</v>
      </c>
      <c r="L966" t="s">
        <v>59</v>
      </c>
      <c r="M966" s="1" t="s">
        <v>33</v>
      </c>
      <c r="N966" s="1">
        <v>2018</v>
      </c>
      <c r="O966" t="str" cm="1">
        <f t="array" ref="O966">_xlfn.IFS(OR($K966="Ghana", $K966="Nigeria"), "Anglophone", OR($K966="Togo", $K966="Benin", $K966="Senegal"), "Francophone")</f>
        <v>Francophone</v>
      </c>
      <c r="P966" s="1" t="str">
        <f>LEFT(Int_breweries[[#This Row],[MONTHS]], 3)</f>
        <v>May</v>
      </c>
    </row>
    <row r="967" spans="1:16" ht="12.5" x14ac:dyDescent="0.25">
      <c r="A967" s="1">
        <v>11066</v>
      </c>
      <c r="B967" s="1" t="s">
        <v>22</v>
      </c>
      <c r="C967" s="1" t="s">
        <v>23</v>
      </c>
      <c r="D967" t="s">
        <v>69</v>
      </c>
      <c r="E967" s="1">
        <v>90</v>
      </c>
      <c r="F967" s="1">
        <v>150</v>
      </c>
      <c r="G967" s="1">
        <v>892</v>
      </c>
      <c r="H967" s="1">
        <f>Int_breweries[[#This Row],[PLANT_COST]]*Int_breweries[[#This Row],[QUANTITY]]</f>
        <v>80280</v>
      </c>
      <c r="I967" s="1">
        <v>133800</v>
      </c>
      <c r="J967" s="1">
        <v>53520</v>
      </c>
      <c r="K967" s="1" t="s">
        <v>14</v>
      </c>
      <c r="L967" t="s">
        <v>60</v>
      </c>
      <c r="M967" s="1" t="s">
        <v>34</v>
      </c>
      <c r="N967" s="1">
        <v>2018</v>
      </c>
      <c r="O967" t="str" cm="1">
        <f t="array" ref="O967">_xlfn.IFS(OR($K967="Ghana", $K967="Nigeria"), "Anglophone", OR($K967="Togo", $K967="Benin", $K967="Senegal"), "Francophone")</f>
        <v>Anglophone</v>
      </c>
      <c r="P967" s="1" t="str">
        <f>LEFT(Int_breweries[[#This Row],[MONTHS]], 3)</f>
        <v>Jun</v>
      </c>
    </row>
    <row r="968" spans="1:16" ht="12.5" x14ac:dyDescent="0.25">
      <c r="A968" s="1">
        <v>11067</v>
      </c>
      <c r="B968" s="1" t="s">
        <v>26</v>
      </c>
      <c r="C968" s="1" t="s">
        <v>27</v>
      </c>
      <c r="D968" t="s">
        <v>63</v>
      </c>
      <c r="E968" s="1">
        <v>150</v>
      </c>
      <c r="F968" s="1">
        <v>200</v>
      </c>
      <c r="G968" s="1">
        <v>758</v>
      </c>
      <c r="H968" s="1">
        <f>Int_breweries[[#This Row],[PLANT_COST]]*Int_breweries[[#This Row],[QUANTITY]]</f>
        <v>113700</v>
      </c>
      <c r="I968" s="1">
        <v>151600</v>
      </c>
      <c r="J968" s="1">
        <v>37900</v>
      </c>
      <c r="K968" s="1" t="s">
        <v>19</v>
      </c>
      <c r="L968" t="s">
        <v>61</v>
      </c>
      <c r="M968" s="1" t="s">
        <v>37</v>
      </c>
      <c r="N968" s="1">
        <v>2018</v>
      </c>
      <c r="O968" t="str" cm="1">
        <f t="array" ref="O968">_xlfn.IFS(OR($K968="Ghana", $K968="Nigeria"), "Anglophone", OR($K968="Togo", $K968="Benin", $K968="Senegal"), "Francophone")</f>
        <v>Anglophone</v>
      </c>
      <c r="P968" s="1" t="str">
        <f>LEFT(Int_breweries[[#This Row],[MONTHS]], 3)</f>
        <v>Jul</v>
      </c>
    </row>
    <row r="969" spans="1:16" ht="12.5" x14ac:dyDescent="0.25">
      <c r="A969" s="1">
        <v>11068</v>
      </c>
      <c r="B969" s="1" t="s">
        <v>30</v>
      </c>
      <c r="C969" s="1" t="s">
        <v>31</v>
      </c>
      <c r="D969" t="s">
        <v>64</v>
      </c>
      <c r="E969" s="1">
        <v>250</v>
      </c>
      <c r="F969" s="1">
        <v>500</v>
      </c>
      <c r="G969" s="1">
        <v>725</v>
      </c>
      <c r="H969" s="1">
        <f>Int_breweries[[#This Row],[PLANT_COST]]*Int_breweries[[#This Row],[QUANTITY]]</f>
        <v>181250</v>
      </c>
      <c r="I969" s="1">
        <v>362500</v>
      </c>
      <c r="J969" s="1">
        <v>181250</v>
      </c>
      <c r="K969" s="1" t="s">
        <v>24</v>
      </c>
      <c r="L969" t="s">
        <v>62</v>
      </c>
      <c r="M969" s="1" t="s">
        <v>38</v>
      </c>
      <c r="N969" s="1">
        <v>2017</v>
      </c>
      <c r="O969" t="str" cm="1">
        <f t="array" ref="O969">_xlfn.IFS(OR($K969="Ghana", $K969="Nigeria"), "Anglophone", OR($K969="Togo", $K969="Benin", $K969="Senegal"), "Francophone")</f>
        <v>Francophone</v>
      </c>
      <c r="P969" s="1" t="str">
        <f>LEFT(Int_breweries[[#This Row],[MONTHS]], 3)</f>
        <v>Aug</v>
      </c>
    </row>
    <row r="970" spans="1:16" ht="12.5" x14ac:dyDescent="0.25">
      <c r="A970" s="1">
        <v>11069</v>
      </c>
      <c r="B970" s="1" t="s">
        <v>12</v>
      </c>
      <c r="C970" s="1" t="s">
        <v>13</v>
      </c>
      <c r="D970" t="s">
        <v>65</v>
      </c>
      <c r="E970" s="1">
        <v>180</v>
      </c>
      <c r="F970" s="1">
        <v>450</v>
      </c>
      <c r="G970" s="1">
        <v>939</v>
      </c>
      <c r="H970" s="1">
        <f>Int_breweries[[#This Row],[PLANT_COST]]*Int_breweries[[#This Row],[QUANTITY]]</f>
        <v>169020</v>
      </c>
      <c r="I970" s="1">
        <v>422550</v>
      </c>
      <c r="J970" s="1">
        <v>253530</v>
      </c>
      <c r="K970" s="1" t="s">
        <v>28</v>
      </c>
      <c r="L970" t="s">
        <v>15</v>
      </c>
      <c r="M970" s="1" t="s">
        <v>41</v>
      </c>
      <c r="N970" s="1">
        <v>2018</v>
      </c>
      <c r="O970" t="str" cm="1">
        <f t="array" ref="O970">_xlfn.IFS(OR($K970="Ghana", $K970="Nigeria"), "Anglophone", OR($K970="Togo", $K970="Benin", $K970="Senegal"), "Francophone")</f>
        <v>Francophone</v>
      </c>
      <c r="P970" s="1" t="str">
        <f>LEFT(Int_breweries[[#This Row],[MONTHS]], 3)</f>
        <v>Sep</v>
      </c>
    </row>
    <row r="971" spans="1:16" ht="12.5" x14ac:dyDescent="0.25">
      <c r="A971" s="1">
        <v>11070</v>
      </c>
      <c r="B971" s="1" t="s">
        <v>35</v>
      </c>
      <c r="C971" s="1" t="s">
        <v>36</v>
      </c>
      <c r="D971" t="s">
        <v>66</v>
      </c>
      <c r="E971" s="1">
        <v>170</v>
      </c>
      <c r="F971" s="1">
        <v>250</v>
      </c>
      <c r="G971" s="1">
        <v>851</v>
      </c>
      <c r="H971" s="1">
        <f>Int_breweries[[#This Row],[PLANT_COST]]*Int_breweries[[#This Row],[QUANTITY]]</f>
        <v>144670</v>
      </c>
      <c r="I971" s="1">
        <v>212750</v>
      </c>
      <c r="J971" s="1">
        <v>68080</v>
      </c>
      <c r="K971" s="1" t="s">
        <v>32</v>
      </c>
      <c r="L971" t="s">
        <v>58</v>
      </c>
      <c r="M971" s="1" t="s">
        <v>44</v>
      </c>
      <c r="N971" s="1">
        <v>2017</v>
      </c>
      <c r="O971" t="str" cm="1">
        <f t="array" ref="O971">_xlfn.IFS(OR($K971="Ghana", $K971="Nigeria"), "Anglophone", OR($K971="Togo", $K971="Benin", $K971="Senegal"), "Francophone")</f>
        <v>Francophone</v>
      </c>
      <c r="P971" s="1" t="str">
        <f>LEFT(Int_breweries[[#This Row],[MONTHS]], 3)</f>
        <v>Oct</v>
      </c>
    </row>
    <row r="972" spans="1:16" ht="12.5" x14ac:dyDescent="0.25">
      <c r="A972" s="1">
        <v>11071</v>
      </c>
      <c r="B972" s="1" t="s">
        <v>26</v>
      </c>
      <c r="C972" s="1" t="s">
        <v>27</v>
      </c>
      <c r="D972" t="s">
        <v>67</v>
      </c>
      <c r="E972" s="1">
        <v>150</v>
      </c>
      <c r="F972" s="1">
        <v>200</v>
      </c>
      <c r="G972" s="1">
        <v>814</v>
      </c>
      <c r="H972" s="1">
        <f>Int_breweries[[#This Row],[PLANT_COST]]*Int_breweries[[#This Row],[QUANTITY]]</f>
        <v>122100</v>
      </c>
      <c r="I972" s="1">
        <v>162800</v>
      </c>
      <c r="J972" s="1">
        <v>40700</v>
      </c>
      <c r="K972" s="1" t="s">
        <v>14</v>
      </c>
      <c r="L972" t="s">
        <v>59</v>
      </c>
      <c r="M972" s="1" t="s">
        <v>47</v>
      </c>
      <c r="N972" s="1">
        <v>2018</v>
      </c>
      <c r="O972" t="str" cm="1">
        <f t="array" ref="O972">_xlfn.IFS(OR($K972="Ghana", $K972="Nigeria"), "Anglophone", OR($K972="Togo", $K972="Benin", $K972="Senegal"), "Francophone")</f>
        <v>Anglophone</v>
      </c>
      <c r="P972" s="1" t="str">
        <f>LEFT(Int_breweries[[#This Row],[MONTHS]], 3)</f>
        <v>Nov</v>
      </c>
    </row>
    <row r="973" spans="1:16" ht="12.5" x14ac:dyDescent="0.25">
      <c r="A973" s="1">
        <v>11072</v>
      </c>
      <c r="B973" s="1" t="s">
        <v>39</v>
      </c>
      <c r="C973" s="1" t="s">
        <v>40</v>
      </c>
      <c r="D973" t="s">
        <v>68</v>
      </c>
      <c r="E973" s="1">
        <v>80</v>
      </c>
      <c r="F973" s="1">
        <v>150</v>
      </c>
      <c r="G973" s="1">
        <v>832</v>
      </c>
      <c r="H973" s="1">
        <f>Int_breweries[[#This Row],[PLANT_COST]]*Int_breweries[[#This Row],[QUANTITY]]</f>
        <v>66560</v>
      </c>
      <c r="I973" s="1">
        <v>124800</v>
      </c>
      <c r="J973" s="1">
        <v>58240</v>
      </c>
      <c r="K973" s="1" t="s">
        <v>19</v>
      </c>
      <c r="L973" t="s">
        <v>60</v>
      </c>
      <c r="M973" s="1" t="s">
        <v>48</v>
      </c>
      <c r="N973" s="1">
        <v>2018</v>
      </c>
      <c r="O973" t="str" cm="1">
        <f t="array" ref="O973">_xlfn.IFS(OR($K973="Ghana", $K973="Nigeria"), "Anglophone", OR($K973="Togo", $K973="Benin", $K973="Senegal"), "Francophone")</f>
        <v>Anglophone</v>
      </c>
      <c r="P973" s="1" t="str">
        <f>LEFT(Int_breweries[[#This Row],[MONTHS]], 3)</f>
        <v>Dec</v>
      </c>
    </row>
    <row r="974" spans="1:16" ht="12.5" x14ac:dyDescent="0.25">
      <c r="A974" s="1">
        <v>11073</v>
      </c>
      <c r="B974" s="1" t="s">
        <v>42</v>
      </c>
      <c r="C974" s="1" t="s">
        <v>43</v>
      </c>
      <c r="D974" t="s">
        <v>69</v>
      </c>
      <c r="E974" s="1">
        <v>90</v>
      </c>
      <c r="F974" s="1">
        <v>150</v>
      </c>
      <c r="G974" s="1">
        <v>927</v>
      </c>
      <c r="H974" s="1">
        <f>Int_breweries[[#This Row],[PLANT_COST]]*Int_breweries[[#This Row],[QUANTITY]]</f>
        <v>83430</v>
      </c>
      <c r="I974" s="1">
        <v>139050</v>
      </c>
      <c r="J974" s="1">
        <v>55620</v>
      </c>
      <c r="K974" s="1" t="s">
        <v>24</v>
      </c>
      <c r="L974" t="s">
        <v>61</v>
      </c>
      <c r="M974" s="1" t="s">
        <v>16</v>
      </c>
      <c r="N974" s="1">
        <v>2017</v>
      </c>
      <c r="O974" t="str" cm="1">
        <f t="array" ref="O974">_xlfn.IFS(OR($K974="Ghana", $K974="Nigeria"), "Anglophone", OR($K974="Togo", $K974="Benin", $K974="Senegal"), "Francophone")</f>
        <v>Francophone</v>
      </c>
      <c r="P974" s="1" t="str">
        <f>LEFT(Int_breweries[[#This Row],[MONTHS]], 3)</f>
        <v>Jan</v>
      </c>
    </row>
    <row r="975" spans="1:16" ht="12.5" x14ac:dyDescent="0.25">
      <c r="A975" s="1">
        <v>11074</v>
      </c>
      <c r="B975" s="1" t="s">
        <v>45</v>
      </c>
      <c r="C975" s="1" t="s">
        <v>46</v>
      </c>
      <c r="D975" t="s">
        <v>63</v>
      </c>
      <c r="E975" s="1">
        <v>150</v>
      </c>
      <c r="F975" s="1">
        <v>200</v>
      </c>
      <c r="G975" s="1">
        <v>825</v>
      </c>
      <c r="H975" s="1">
        <f>Int_breweries[[#This Row],[PLANT_COST]]*Int_breweries[[#This Row],[QUANTITY]]</f>
        <v>123750</v>
      </c>
      <c r="I975" s="1">
        <v>165000</v>
      </c>
      <c r="J975" s="1">
        <v>41250</v>
      </c>
      <c r="K975" s="1" t="s">
        <v>28</v>
      </c>
      <c r="L975" t="s">
        <v>62</v>
      </c>
      <c r="M975" s="1" t="s">
        <v>21</v>
      </c>
      <c r="N975" s="1">
        <v>2018</v>
      </c>
      <c r="O975" t="str" cm="1">
        <f t="array" ref="O975">_xlfn.IFS(OR($K975="Ghana", $K975="Nigeria"), "Anglophone", OR($K975="Togo", $K975="Benin", $K975="Senegal"), "Francophone")</f>
        <v>Francophone</v>
      </c>
      <c r="P975" s="1" t="str">
        <f>LEFT(Int_breweries[[#This Row],[MONTHS]], 3)</f>
        <v>Feb</v>
      </c>
    </row>
    <row r="976" spans="1:16" ht="12.5" x14ac:dyDescent="0.25">
      <c r="A976" s="1">
        <v>11075</v>
      </c>
      <c r="B976" s="1" t="s">
        <v>26</v>
      </c>
      <c r="C976" s="1" t="s">
        <v>27</v>
      </c>
      <c r="D976" t="s">
        <v>64</v>
      </c>
      <c r="E976" s="1">
        <v>250</v>
      </c>
      <c r="F976" s="1">
        <v>500</v>
      </c>
      <c r="G976" s="1">
        <v>934</v>
      </c>
      <c r="H976" s="1">
        <f>Int_breweries[[#This Row],[PLANT_COST]]*Int_breweries[[#This Row],[QUANTITY]]</f>
        <v>233500</v>
      </c>
      <c r="I976" s="1">
        <v>467000</v>
      </c>
      <c r="J976" s="1">
        <v>233500</v>
      </c>
      <c r="K976" s="1" t="s">
        <v>32</v>
      </c>
      <c r="L976" t="s">
        <v>15</v>
      </c>
      <c r="M976" s="1" t="s">
        <v>25</v>
      </c>
      <c r="N976" s="1">
        <v>2018</v>
      </c>
      <c r="O976" t="str" cm="1">
        <f t="array" ref="O976">_xlfn.IFS(OR($K976="Ghana", $K976="Nigeria"), "Anglophone", OR($K976="Togo", $K976="Benin", $K976="Senegal"), "Francophone")</f>
        <v>Francophone</v>
      </c>
      <c r="P976" s="1" t="str">
        <f>LEFT(Int_breweries[[#This Row],[MONTHS]], 3)</f>
        <v>Mar</v>
      </c>
    </row>
    <row r="977" spans="1:16" ht="12.5" x14ac:dyDescent="0.25">
      <c r="A977" s="1">
        <v>11076</v>
      </c>
      <c r="B977" s="1" t="s">
        <v>49</v>
      </c>
      <c r="C977" s="1" t="s">
        <v>50</v>
      </c>
      <c r="D977" t="s">
        <v>65</v>
      </c>
      <c r="E977" s="1">
        <v>180</v>
      </c>
      <c r="F977" s="1">
        <v>450</v>
      </c>
      <c r="G977" s="1">
        <v>779</v>
      </c>
      <c r="H977" s="1">
        <f>Int_breweries[[#This Row],[PLANT_COST]]*Int_breweries[[#This Row],[QUANTITY]]</f>
        <v>140220</v>
      </c>
      <c r="I977" s="1">
        <v>350550</v>
      </c>
      <c r="J977" s="1">
        <v>210330</v>
      </c>
      <c r="K977" s="1" t="s">
        <v>14</v>
      </c>
      <c r="L977" t="s">
        <v>58</v>
      </c>
      <c r="M977" s="1" t="s">
        <v>29</v>
      </c>
      <c r="N977" s="1">
        <v>2019</v>
      </c>
      <c r="O977" t="str" cm="1">
        <f t="array" ref="O977">_xlfn.IFS(OR($K977="Ghana", $K977="Nigeria"), "Anglophone", OR($K977="Togo", $K977="Benin", $K977="Senegal"), "Francophone")</f>
        <v>Anglophone</v>
      </c>
      <c r="P977" s="1" t="str">
        <f>LEFT(Int_breweries[[#This Row],[MONTHS]], 3)</f>
        <v>Apr</v>
      </c>
    </row>
    <row r="978" spans="1:16" ht="12.5" x14ac:dyDescent="0.25">
      <c r="A978" s="1">
        <v>11077</v>
      </c>
      <c r="B978" s="1" t="s">
        <v>26</v>
      </c>
      <c r="C978" s="1" t="s">
        <v>27</v>
      </c>
      <c r="D978" t="s">
        <v>66</v>
      </c>
      <c r="E978" s="1">
        <v>170</v>
      </c>
      <c r="F978" s="1">
        <v>250</v>
      </c>
      <c r="G978" s="1">
        <v>706</v>
      </c>
      <c r="H978" s="1">
        <f>Int_breweries[[#This Row],[PLANT_COST]]*Int_breweries[[#This Row],[QUANTITY]]</f>
        <v>120020</v>
      </c>
      <c r="I978" s="1">
        <v>176500</v>
      </c>
      <c r="J978" s="1">
        <v>56480</v>
      </c>
      <c r="K978" s="1" t="s">
        <v>19</v>
      </c>
      <c r="L978" t="s">
        <v>59</v>
      </c>
      <c r="M978" s="1" t="s">
        <v>33</v>
      </c>
      <c r="N978" s="1">
        <v>2019</v>
      </c>
      <c r="O978" t="str" cm="1">
        <f t="array" ref="O978">_xlfn.IFS(OR($K978="Ghana", $K978="Nigeria"), "Anglophone", OR($K978="Togo", $K978="Benin", $K978="Senegal"), "Francophone")</f>
        <v>Anglophone</v>
      </c>
      <c r="P978" s="1" t="str">
        <f>LEFT(Int_breweries[[#This Row],[MONTHS]], 3)</f>
        <v>May</v>
      </c>
    </row>
    <row r="979" spans="1:16" ht="12.5" x14ac:dyDescent="0.25">
      <c r="A979" s="1">
        <v>11078</v>
      </c>
      <c r="B979" s="1" t="s">
        <v>39</v>
      </c>
      <c r="C979" s="1" t="s">
        <v>40</v>
      </c>
      <c r="D979" t="s">
        <v>67</v>
      </c>
      <c r="E979" s="1">
        <v>150</v>
      </c>
      <c r="F979" s="1">
        <v>200</v>
      </c>
      <c r="G979" s="1">
        <v>743</v>
      </c>
      <c r="H979" s="1">
        <f>Int_breweries[[#This Row],[PLANT_COST]]*Int_breweries[[#This Row],[QUANTITY]]</f>
        <v>111450</v>
      </c>
      <c r="I979" s="1">
        <v>148600</v>
      </c>
      <c r="J979" s="1">
        <v>37150</v>
      </c>
      <c r="K979" s="1" t="s">
        <v>24</v>
      </c>
      <c r="L979" t="s">
        <v>60</v>
      </c>
      <c r="M979" s="1" t="s">
        <v>34</v>
      </c>
      <c r="N979" s="1">
        <v>2017</v>
      </c>
      <c r="O979" t="str" cm="1">
        <f t="array" ref="O979">_xlfn.IFS(OR($K979="Ghana", $K979="Nigeria"), "Anglophone", OR($K979="Togo", $K979="Benin", $K979="Senegal"), "Francophone")</f>
        <v>Francophone</v>
      </c>
      <c r="P979" s="1" t="str">
        <f>LEFT(Int_breweries[[#This Row],[MONTHS]], 3)</f>
        <v>Jun</v>
      </c>
    </row>
    <row r="980" spans="1:16" ht="12.5" x14ac:dyDescent="0.25">
      <c r="A980" s="1">
        <v>11079</v>
      </c>
      <c r="B980" s="1" t="s">
        <v>26</v>
      </c>
      <c r="C980" s="1" t="s">
        <v>27</v>
      </c>
      <c r="D980" t="s">
        <v>68</v>
      </c>
      <c r="E980" s="1">
        <v>80</v>
      </c>
      <c r="F980" s="1">
        <v>150</v>
      </c>
      <c r="G980" s="1">
        <v>919</v>
      </c>
      <c r="H980" s="1">
        <f>Int_breweries[[#This Row],[PLANT_COST]]*Int_breweries[[#This Row],[QUANTITY]]</f>
        <v>73520</v>
      </c>
      <c r="I980" s="1">
        <v>137850</v>
      </c>
      <c r="J980" s="1">
        <v>64330</v>
      </c>
      <c r="K980" s="1" t="s">
        <v>28</v>
      </c>
      <c r="L980" t="s">
        <v>61</v>
      </c>
      <c r="M980" s="1" t="s">
        <v>37</v>
      </c>
      <c r="N980" s="1">
        <v>2017</v>
      </c>
      <c r="O980" t="str" cm="1">
        <f t="array" ref="O980">_xlfn.IFS(OR($K980="Ghana", $K980="Nigeria"), "Anglophone", OR($K980="Togo", $K980="Benin", $K980="Senegal"), "Francophone")</f>
        <v>Francophone</v>
      </c>
      <c r="P980" s="1" t="str">
        <f>LEFT(Int_breweries[[#This Row],[MONTHS]], 3)</f>
        <v>Jul</v>
      </c>
    </row>
    <row r="981" spans="1:16" ht="12.5" x14ac:dyDescent="0.25">
      <c r="A981" s="1">
        <v>11080</v>
      </c>
      <c r="B981" s="1" t="s">
        <v>45</v>
      </c>
      <c r="C981" s="1" t="s">
        <v>46</v>
      </c>
      <c r="D981" t="s">
        <v>69</v>
      </c>
      <c r="E981" s="1">
        <v>90</v>
      </c>
      <c r="F981" s="1">
        <v>150</v>
      </c>
      <c r="G981" s="1">
        <v>991</v>
      </c>
      <c r="H981" s="1">
        <f>Int_breweries[[#This Row],[PLANT_COST]]*Int_breweries[[#This Row],[QUANTITY]]</f>
        <v>89190</v>
      </c>
      <c r="I981" s="1">
        <v>148650</v>
      </c>
      <c r="J981" s="1">
        <v>59460</v>
      </c>
      <c r="K981" s="1" t="s">
        <v>32</v>
      </c>
      <c r="L981" t="s">
        <v>62</v>
      </c>
      <c r="M981" s="1" t="s">
        <v>38</v>
      </c>
      <c r="N981" s="1">
        <v>2019</v>
      </c>
      <c r="O981" t="str" cm="1">
        <f t="array" ref="O981">_xlfn.IFS(OR($K981="Ghana", $K981="Nigeria"), "Anglophone", OR($K981="Togo", $K981="Benin", $K981="Senegal"), "Francophone")</f>
        <v>Francophone</v>
      </c>
      <c r="P981" s="1" t="str">
        <f>LEFT(Int_breweries[[#This Row],[MONTHS]], 3)</f>
        <v>Aug</v>
      </c>
    </row>
    <row r="982" spans="1:16" ht="12.5" x14ac:dyDescent="0.25">
      <c r="A982" s="1">
        <v>11081</v>
      </c>
      <c r="B982" s="1" t="s">
        <v>51</v>
      </c>
      <c r="C982" s="1" t="s">
        <v>52</v>
      </c>
      <c r="D982" t="s">
        <v>63</v>
      </c>
      <c r="E982" s="1">
        <v>150</v>
      </c>
      <c r="F982" s="1">
        <v>200</v>
      </c>
      <c r="G982" s="1">
        <v>836</v>
      </c>
      <c r="H982" s="1">
        <f>Int_breweries[[#This Row],[PLANT_COST]]*Int_breweries[[#This Row],[QUANTITY]]</f>
        <v>125400</v>
      </c>
      <c r="I982" s="1">
        <v>167200</v>
      </c>
      <c r="J982" s="1">
        <v>41800</v>
      </c>
      <c r="K982" s="1" t="s">
        <v>14</v>
      </c>
      <c r="L982" t="s">
        <v>15</v>
      </c>
      <c r="M982" s="1" t="s">
        <v>41</v>
      </c>
      <c r="N982" s="1">
        <v>2018</v>
      </c>
      <c r="O982" t="str" cm="1">
        <f t="array" ref="O982">_xlfn.IFS(OR($K982="Ghana", $K982="Nigeria"), "Anglophone", OR($K982="Togo", $K982="Benin", $K982="Senegal"), "Francophone")</f>
        <v>Anglophone</v>
      </c>
      <c r="P982" s="1" t="str">
        <f>LEFT(Int_breweries[[#This Row],[MONTHS]], 3)</f>
        <v>Sep</v>
      </c>
    </row>
    <row r="983" spans="1:16" ht="12.5" x14ac:dyDescent="0.25">
      <c r="A983" s="1">
        <v>11082</v>
      </c>
      <c r="B983" s="1" t="s">
        <v>49</v>
      </c>
      <c r="C983" s="1" t="s">
        <v>50</v>
      </c>
      <c r="D983" t="s">
        <v>64</v>
      </c>
      <c r="E983" s="1">
        <v>250</v>
      </c>
      <c r="F983" s="1">
        <v>500</v>
      </c>
      <c r="G983" s="1">
        <v>793</v>
      </c>
      <c r="H983" s="1">
        <f>Int_breweries[[#This Row],[PLANT_COST]]*Int_breweries[[#This Row],[QUANTITY]]</f>
        <v>198250</v>
      </c>
      <c r="I983" s="1">
        <v>396500</v>
      </c>
      <c r="J983" s="1">
        <v>198250</v>
      </c>
      <c r="K983" s="1" t="s">
        <v>19</v>
      </c>
      <c r="L983" t="s">
        <v>58</v>
      </c>
      <c r="M983" s="1" t="s">
        <v>44</v>
      </c>
      <c r="N983" s="1">
        <v>2017</v>
      </c>
      <c r="O983" t="str" cm="1">
        <f t="array" ref="O983">_xlfn.IFS(OR($K983="Ghana", $K983="Nigeria"), "Anglophone", OR($K983="Togo", $K983="Benin", $K983="Senegal"), "Francophone")</f>
        <v>Anglophone</v>
      </c>
      <c r="P983" s="1" t="str">
        <f>LEFT(Int_breweries[[#This Row],[MONTHS]], 3)</f>
        <v>Oct</v>
      </c>
    </row>
    <row r="984" spans="1:16" ht="12.5" x14ac:dyDescent="0.25">
      <c r="A984" s="1">
        <v>11083</v>
      </c>
      <c r="B984" s="1" t="s">
        <v>45</v>
      </c>
      <c r="C984" s="1" t="s">
        <v>46</v>
      </c>
      <c r="D984" t="s">
        <v>65</v>
      </c>
      <c r="E984" s="1">
        <v>180</v>
      </c>
      <c r="F984" s="1">
        <v>450</v>
      </c>
      <c r="G984" s="1">
        <v>831</v>
      </c>
      <c r="H984" s="1">
        <f>Int_breweries[[#This Row],[PLANT_COST]]*Int_breweries[[#This Row],[QUANTITY]]</f>
        <v>149580</v>
      </c>
      <c r="I984" s="1">
        <v>373950</v>
      </c>
      <c r="J984" s="1">
        <v>224370</v>
      </c>
      <c r="K984" s="1" t="s">
        <v>24</v>
      </c>
      <c r="L984" t="s">
        <v>59</v>
      </c>
      <c r="M984" s="1" t="s">
        <v>47</v>
      </c>
      <c r="N984" s="1">
        <v>2019</v>
      </c>
      <c r="O984" t="str" cm="1">
        <f t="array" ref="O984">_xlfn.IFS(OR($K984="Ghana", $K984="Nigeria"), "Anglophone", OR($K984="Togo", $K984="Benin", $K984="Senegal"), "Francophone")</f>
        <v>Francophone</v>
      </c>
      <c r="P984" s="1" t="str">
        <f>LEFT(Int_breweries[[#This Row],[MONTHS]], 3)</f>
        <v>Nov</v>
      </c>
    </row>
    <row r="985" spans="1:16" ht="12.5" x14ac:dyDescent="0.25">
      <c r="A985" s="1">
        <v>11084</v>
      </c>
      <c r="B985" s="1" t="s">
        <v>17</v>
      </c>
      <c r="C985" s="1" t="s">
        <v>18</v>
      </c>
      <c r="D985" t="s">
        <v>66</v>
      </c>
      <c r="E985" s="1">
        <v>170</v>
      </c>
      <c r="F985" s="1">
        <v>250</v>
      </c>
      <c r="G985" s="1">
        <v>847</v>
      </c>
      <c r="H985" s="1">
        <f>Int_breweries[[#This Row],[PLANT_COST]]*Int_breweries[[#This Row],[QUANTITY]]</f>
        <v>143990</v>
      </c>
      <c r="I985" s="1">
        <v>211750</v>
      </c>
      <c r="J985" s="1">
        <v>67760</v>
      </c>
      <c r="K985" s="1" t="s">
        <v>28</v>
      </c>
      <c r="L985" t="s">
        <v>60</v>
      </c>
      <c r="M985" s="1" t="s">
        <v>48</v>
      </c>
      <c r="N985" s="1">
        <v>2017</v>
      </c>
      <c r="O985" t="str" cm="1">
        <f t="array" ref="O985">_xlfn.IFS(OR($K985="Ghana", $K985="Nigeria"), "Anglophone", OR($K985="Togo", $K985="Benin", $K985="Senegal"), "Francophone")</f>
        <v>Francophone</v>
      </c>
      <c r="P985" s="1" t="str">
        <f>LEFT(Int_breweries[[#This Row],[MONTHS]], 3)</f>
        <v>Dec</v>
      </c>
    </row>
    <row r="986" spans="1:16" ht="12.5" x14ac:dyDescent="0.25">
      <c r="A986" s="1">
        <v>11085</v>
      </c>
      <c r="B986" s="1" t="s">
        <v>49</v>
      </c>
      <c r="C986" s="1" t="s">
        <v>50</v>
      </c>
      <c r="D986" t="s">
        <v>67</v>
      </c>
      <c r="E986" s="1">
        <v>150</v>
      </c>
      <c r="F986" s="1">
        <v>200</v>
      </c>
      <c r="G986" s="1">
        <v>993</v>
      </c>
      <c r="H986" s="1">
        <f>Int_breweries[[#This Row],[PLANT_COST]]*Int_breweries[[#This Row],[QUANTITY]]</f>
        <v>148950</v>
      </c>
      <c r="I986" s="1">
        <v>198600</v>
      </c>
      <c r="J986" s="1">
        <v>49650</v>
      </c>
      <c r="K986" s="1" t="s">
        <v>32</v>
      </c>
      <c r="L986" t="s">
        <v>61</v>
      </c>
      <c r="M986" s="1" t="s">
        <v>16</v>
      </c>
      <c r="N986" s="1">
        <v>2017</v>
      </c>
      <c r="O986" t="str" cm="1">
        <f t="array" ref="O986">_xlfn.IFS(OR($K986="Ghana", $K986="Nigeria"), "Anglophone", OR($K986="Togo", $K986="Benin", $K986="Senegal"), "Francophone")</f>
        <v>Francophone</v>
      </c>
      <c r="P986" s="1" t="str">
        <f>LEFT(Int_breweries[[#This Row],[MONTHS]], 3)</f>
        <v>Jan</v>
      </c>
    </row>
    <row r="987" spans="1:16" ht="12.5" x14ac:dyDescent="0.25">
      <c r="A987" s="1">
        <v>11086</v>
      </c>
      <c r="B987" s="1" t="s">
        <v>26</v>
      </c>
      <c r="C987" s="1" t="s">
        <v>27</v>
      </c>
      <c r="D987" t="s">
        <v>68</v>
      </c>
      <c r="E987" s="1">
        <v>80</v>
      </c>
      <c r="F987" s="1">
        <v>150</v>
      </c>
      <c r="G987" s="1">
        <v>904</v>
      </c>
      <c r="H987" s="1">
        <f>Int_breweries[[#This Row],[PLANT_COST]]*Int_breweries[[#This Row],[QUANTITY]]</f>
        <v>72320</v>
      </c>
      <c r="I987" s="1">
        <v>135600</v>
      </c>
      <c r="J987" s="1">
        <v>63280</v>
      </c>
      <c r="K987" s="1" t="s">
        <v>14</v>
      </c>
      <c r="L987" t="s">
        <v>62</v>
      </c>
      <c r="M987" s="1" t="s">
        <v>21</v>
      </c>
      <c r="N987" s="1">
        <v>2019</v>
      </c>
      <c r="O987" t="str" cm="1">
        <f t="array" ref="O987">_xlfn.IFS(OR($K987="Ghana", $K987="Nigeria"), "Anglophone", OR($K987="Togo", $K987="Benin", $K987="Senegal"), "Francophone")</f>
        <v>Anglophone</v>
      </c>
      <c r="P987" s="1" t="str">
        <f>LEFT(Int_breweries[[#This Row],[MONTHS]], 3)</f>
        <v>Feb</v>
      </c>
    </row>
    <row r="988" spans="1:16" ht="12.5" x14ac:dyDescent="0.25">
      <c r="A988" s="1">
        <v>11087</v>
      </c>
      <c r="B988" s="1" t="s">
        <v>22</v>
      </c>
      <c r="C988" s="1" t="s">
        <v>23</v>
      </c>
      <c r="D988" t="s">
        <v>69</v>
      </c>
      <c r="E988" s="1">
        <v>90</v>
      </c>
      <c r="F988" s="1">
        <v>150</v>
      </c>
      <c r="G988" s="1">
        <v>832</v>
      </c>
      <c r="H988" s="1">
        <f>Int_breweries[[#This Row],[PLANT_COST]]*Int_breweries[[#This Row],[QUANTITY]]</f>
        <v>74880</v>
      </c>
      <c r="I988" s="1">
        <v>124800</v>
      </c>
      <c r="J988" s="1">
        <v>49920</v>
      </c>
      <c r="K988" s="1" t="s">
        <v>19</v>
      </c>
      <c r="L988" t="s">
        <v>15</v>
      </c>
      <c r="M988" s="1" t="s">
        <v>25</v>
      </c>
      <c r="N988" s="1">
        <v>2018</v>
      </c>
      <c r="O988" t="str" cm="1">
        <f t="array" ref="O988">_xlfn.IFS(OR($K988="Ghana", $K988="Nigeria"), "Anglophone", OR($K988="Togo", $K988="Benin", $K988="Senegal"), "Francophone")</f>
        <v>Anglophone</v>
      </c>
      <c r="P988" s="1" t="str">
        <f>LEFT(Int_breweries[[#This Row],[MONTHS]], 3)</f>
        <v>Mar</v>
      </c>
    </row>
    <row r="989" spans="1:16" ht="12.5" x14ac:dyDescent="0.25">
      <c r="A989" s="1">
        <v>11088</v>
      </c>
      <c r="B989" s="1" t="s">
        <v>12</v>
      </c>
      <c r="C989" s="1" t="s">
        <v>13</v>
      </c>
      <c r="D989" t="s">
        <v>63</v>
      </c>
      <c r="E989" s="1">
        <v>150</v>
      </c>
      <c r="F989" s="1">
        <v>200</v>
      </c>
      <c r="G989" s="1">
        <v>763</v>
      </c>
      <c r="H989" s="1">
        <f>Int_breweries[[#This Row],[PLANT_COST]]*Int_breweries[[#This Row],[QUANTITY]]</f>
        <v>114450</v>
      </c>
      <c r="I989" s="1">
        <v>152600</v>
      </c>
      <c r="J989" s="1">
        <v>38150</v>
      </c>
      <c r="K989" s="1" t="s">
        <v>24</v>
      </c>
      <c r="L989" t="s">
        <v>58</v>
      </c>
      <c r="M989" s="1" t="s">
        <v>29</v>
      </c>
      <c r="N989" s="1">
        <v>2017</v>
      </c>
      <c r="O989" t="str" cm="1">
        <f t="array" ref="O989">_xlfn.IFS(OR($K989="Ghana", $K989="Nigeria"), "Anglophone", OR($K989="Togo", $K989="Benin", $K989="Senegal"), "Francophone")</f>
        <v>Francophone</v>
      </c>
      <c r="P989" s="1" t="str">
        <f>LEFT(Int_breweries[[#This Row],[MONTHS]], 3)</f>
        <v>Apr</v>
      </c>
    </row>
    <row r="990" spans="1:16" ht="12.5" x14ac:dyDescent="0.25">
      <c r="A990" s="1">
        <v>11089</v>
      </c>
      <c r="B990" s="1" t="s">
        <v>30</v>
      </c>
      <c r="C990" s="1" t="s">
        <v>31</v>
      </c>
      <c r="D990" t="s">
        <v>64</v>
      </c>
      <c r="E990" s="1">
        <v>250</v>
      </c>
      <c r="F990" s="1">
        <v>500</v>
      </c>
      <c r="G990" s="1">
        <v>912</v>
      </c>
      <c r="H990" s="1">
        <f>Int_breweries[[#This Row],[PLANT_COST]]*Int_breweries[[#This Row],[QUANTITY]]</f>
        <v>228000</v>
      </c>
      <c r="I990" s="1">
        <v>456000</v>
      </c>
      <c r="J990" s="1">
        <v>228000</v>
      </c>
      <c r="K990" s="1" t="s">
        <v>28</v>
      </c>
      <c r="L990" t="s">
        <v>59</v>
      </c>
      <c r="M990" s="1" t="s">
        <v>33</v>
      </c>
      <c r="N990" s="1">
        <v>2019</v>
      </c>
      <c r="O990" t="str" cm="1">
        <f t="array" ref="O990">_xlfn.IFS(OR($K990="Ghana", $K990="Nigeria"), "Anglophone", OR($K990="Togo", $K990="Benin", $K990="Senegal"), "Francophone")</f>
        <v>Francophone</v>
      </c>
      <c r="P990" s="1" t="str">
        <f>LEFT(Int_breweries[[#This Row],[MONTHS]], 3)</f>
        <v>May</v>
      </c>
    </row>
    <row r="991" spans="1:16" ht="12.5" x14ac:dyDescent="0.25">
      <c r="A991" s="1">
        <v>11090</v>
      </c>
      <c r="B991" s="1" t="s">
        <v>42</v>
      </c>
      <c r="C991" s="1" t="s">
        <v>43</v>
      </c>
      <c r="D991" t="s">
        <v>65</v>
      </c>
      <c r="E991" s="1">
        <v>180</v>
      </c>
      <c r="F991" s="1">
        <v>450</v>
      </c>
      <c r="G991" s="1">
        <v>834</v>
      </c>
      <c r="H991" s="1">
        <f>Int_breweries[[#This Row],[PLANT_COST]]*Int_breweries[[#This Row],[QUANTITY]]</f>
        <v>150120</v>
      </c>
      <c r="I991" s="1">
        <v>375300</v>
      </c>
      <c r="J991" s="1">
        <v>225180</v>
      </c>
      <c r="K991" s="1" t="s">
        <v>32</v>
      </c>
      <c r="L991" t="s">
        <v>60</v>
      </c>
      <c r="M991" s="1" t="s">
        <v>34</v>
      </c>
      <c r="N991" s="1">
        <v>2018</v>
      </c>
      <c r="O991" t="str" cm="1">
        <f t="array" ref="O991">_xlfn.IFS(OR($K991="Ghana", $K991="Nigeria"), "Anglophone", OR($K991="Togo", $K991="Benin", $K991="Senegal"), "Francophone")</f>
        <v>Francophone</v>
      </c>
      <c r="P991" s="1" t="str">
        <f>LEFT(Int_breweries[[#This Row],[MONTHS]], 3)</f>
        <v>Jun</v>
      </c>
    </row>
    <row r="992" spans="1:16" ht="12.5" x14ac:dyDescent="0.25">
      <c r="A992" s="1">
        <v>11091</v>
      </c>
      <c r="B992" s="1" t="s">
        <v>17</v>
      </c>
      <c r="C992" s="1" t="s">
        <v>18</v>
      </c>
      <c r="D992" t="s">
        <v>66</v>
      </c>
      <c r="E992" s="1">
        <v>170</v>
      </c>
      <c r="F992" s="1">
        <v>250</v>
      </c>
      <c r="G992" s="1">
        <v>914</v>
      </c>
      <c r="H992" s="1">
        <f>Int_breweries[[#This Row],[PLANT_COST]]*Int_breweries[[#This Row],[QUANTITY]]</f>
        <v>155380</v>
      </c>
      <c r="I992" s="1">
        <v>228500</v>
      </c>
      <c r="J992" s="1">
        <v>73120</v>
      </c>
      <c r="K992" s="1" t="s">
        <v>14</v>
      </c>
      <c r="L992" t="s">
        <v>61</v>
      </c>
      <c r="M992" s="1" t="s">
        <v>37</v>
      </c>
      <c r="N992" s="1">
        <v>2019</v>
      </c>
      <c r="O992" t="str" cm="1">
        <f t="array" ref="O992">_xlfn.IFS(OR($K992="Ghana", $K992="Nigeria"), "Anglophone", OR($K992="Togo", $K992="Benin", $K992="Senegal"), "Francophone")</f>
        <v>Anglophone</v>
      </c>
      <c r="P992" s="1" t="str">
        <f>LEFT(Int_breweries[[#This Row],[MONTHS]], 3)</f>
        <v>Jul</v>
      </c>
    </row>
    <row r="993" spans="1:16" ht="12.5" x14ac:dyDescent="0.25">
      <c r="A993" s="1">
        <v>11092</v>
      </c>
      <c r="B993" s="1" t="s">
        <v>17</v>
      </c>
      <c r="C993" s="1" t="s">
        <v>18</v>
      </c>
      <c r="D993" t="s">
        <v>67</v>
      </c>
      <c r="E993" s="1">
        <v>150</v>
      </c>
      <c r="F993" s="1">
        <v>200</v>
      </c>
      <c r="G993" s="1">
        <v>863</v>
      </c>
      <c r="H993" s="1">
        <f>Int_breweries[[#This Row],[PLANT_COST]]*Int_breweries[[#This Row],[QUANTITY]]</f>
        <v>129450</v>
      </c>
      <c r="I993" s="1">
        <v>172600</v>
      </c>
      <c r="J993" s="1">
        <v>43150</v>
      </c>
      <c r="K993" s="1" t="s">
        <v>19</v>
      </c>
      <c r="L993" t="s">
        <v>62</v>
      </c>
      <c r="M993" s="1" t="s">
        <v>38</v>
      </c>
      <c r="N993" s="1">
        <v>2019</v>
      </c>
      <c r="O993" t="str" cm="1">
        <f t="array" ref="O993">_xlfn.IFS(OR($K993="Ghana", $K993="Nigeria"), "Anglophone", OR($K993="Togo", $K993="Benin", $K993="Senegal"), "Francophone")</f>
        <v>Anglophone</v>
      </c>
      <c r="P993" s="1" t="str">
        <f>LEFT(Int_breweries[[#This Row],[MONTHS]], 3)</f>
        <v>Aug</v>
      </c>
    </row>
    <row r="994" spans="1:16" ht="12.5" x14ac:dyDescent="0.25">
      <c r="A994" s="1">
        <v>11093</v>
      </c>
      <c r="B994" s="1" t="s">
        <v>51</v>
      </c>
      <c r="C994" s="1" t="s">
        <v>52</v>
      </c>
      <c r="D994" t="s">
        <v>68</v>
      </c>
      <c r="E994" s="1">
        <v>80</v>
      </c>
      <c r="F994" s="1">
        <v>150</v>
      </c>
      <c r="G994" s="1">
        <v>835</v>
      </c>
      <c r="H994" s="1">
        <f>Int_breweries[[#This Row],[PLANT_COST]]*Int_breweries[[#This Row],[QUANTITY]]</f>
        <v>66800</v>
      </c>
      <c r="I994" s="1">
        <v>125250</v>
      </c>
      <c r="J994" s="1">
        <v>58450</v>
      </c>
      <c r="K994" s="1" t="s">
        <v>24</v>
      </c>
      <c r="L994" t="s">
        <v>15</v>
      </c>
      <c r="M994" s="1" t="s">
        <v>41</v>
      </c>
      <c r="N994" s="1">
        <v>2017</v>
      </c>
      <c r="O994" t="str" cm="1">
        <f t="array" ref="O994">_xlfn.IFS(OR($K994="Ghana", $K994="Nigeria"), "Anglophone", OR($K994="Togo", $K994="Benin", $K994="Senegal"), "Francophone")</f>
        <v>Francophone</v>
      </c>
      <c r="P994" s="1" t="str">
        <f>LEFT(Int_breweries[[#This Row],[MONTHS]], 3)</f>
        <v>Sep</v>
      </c>
    </row>
    <row r="995" spans="1:16" ht="12.5" x14ac:dyDescent="0.25">
      <c r="A995" s="1">
        <v>11094</v>
      </c>
      <c r="B995" s="1" t="s">
        <v>26</v>
      </c>
      <c r="C995" s="1" t="s">
        <v>27</v>
      </c>
      <c r="D995" t="s">
        <v>69</v>
      </c>
      <c r="E995" s="1">
        <v>90</v>
      </c>
      <c r="F995" s="1">
        <v>150</v>
      </c>
      <c r="G995" s="1">
        <v>859</v>
      </c>
      <c r="H995" s="1">
        <f>Int_breweries[[#This Row],[PLANT_COST]]*Int_breweries[[#This Row],[QUANTITY]]</f>
        <v>77310</v>
      </c>
      <c r="I995" s="1">
        <v>128850</v>
      </c>
      <c r="J995" s="1">
        <v>51540</v>
      </c>
      <c r="K995" s="1" t="s">
        <v>28</v>
      </c>
      <c r="L995" t="s">
        <v>58</v>
      </c>
      <c r="M995" s="1" t="s">
        <v>44</v>
      </c>
      <c r="N995" s="1">
        <v>2019</v>
      </c>
      <c r="O995" t="str" cm="1">
        <f t="array" ref="O995">_xlfn.IFS(OR($K995="Ghana", $K995="Nigeria"), "Anglophone", OR($K995="Togo", $K995="Benin", $K995="Senegal"), "Francophone")</f>
        <v>Francophone</v>
      </c>
      <c r="P995" s="1" t="str">
        <f>LEFT(Int_breweries[[#This Row],[MONTHS]], 3)</f>
        <v>Oct</v>
      </c>
    </row>
    <row r="996" spans="1:16" ht="12.5" x14ac:dyDescent="0.25">
      <c r="A996" s="1">
        <v>11095</v>
      </c>
      <c r="B996" s="1" t="s">
        <v>39</v>
      </c>
      <c r="C996" s="1" t="s">
        <v>40</v>
      </c>
      <c r="D996" t="s">
        <v>63</v>
      </c>
      <c r="E996" s="1">
        <v>150</v>
      </c>
      <c r="F996" s="1">
        <v>200</v>
      </c>
      <c r="G996" s="1">
        <v>995</v>
      </c>
      <c r="H996" s="1">
        <f>Int_breweries[[#This Row],[PLANT_COST]]*Int_breweries[[#This Row],[QUANTITY]]</f>
        <v>149250</v>
      </c>
      <c r="I996" s="1">
        <v>199000</v>
      </c>
      <c r="J996" s="1">
        <v>49750</v>
      </c>
      <c r="K996" s="1" t="s">
        <v>32</v>
      </c>
      <c r="L996" t="s">
        <v>59</v>
      </c>
      <c r="M996" s="1" t="s">
        <v>47</v>
      </c>
      <c r="N996" s="1">
        <v>2017</v>
      </c>
      <c r="O996" t="str" cm="1">
        <f t="array" ref="O996">_xlfn.IFS(OR($K996="Ghana", $K996="Nigeria"), "Anglophone", OR($K996="Togo", $K996="Benin", $K996="Senegal"), "Francophone")</f>
        <v>Francophone</v>
      </c>
      <c r="P996" s="1" t="str">
        <f>LEFT(Int_breweries[[#This Row],[MONTHS]], 3)</f>
        <v>Nov</v>
      </c>
    </row>
    <row r="997" spans="1:16" ht="12.5" x14ac:dyDescent="0.25">
      <c r="A997" s="1">
        <v>11096</v>
      </c>
      <c r="B997" s="1" t="s">
        <v>51</v>
      </c>
      <c r="C997" s="1" t="s">
        <v>52</v>
      </c>
      <c r="D997" t="s">
        <v>64</v>
      </c>
      <c r="E997" s="1">
        <v>250</v>
      </c>
      <c r="F997" s="1">
        <v>500</v>
      </c>
      <c r="G997" s="1">
        <v>995</v>
      </c>
      <c r="H997" s="1">
        <f>Int_breweries[[#This Row],[PLANT_COST]]*Int_breweries[[#This Row],[QUANTITY]]</f>
        <v>248750</v>
      </c>
      <c r="I997" s="1">
        <v>497500</v>
      </c>
      <c r="J997" s="1">
        <v>248750</v>
      </c>
      <c r="K997" s="1" t="s">
        <v>14</v>
      </c>
      <c r="L997" t="s">
        <v>60</v>
      </c>
      <c r="M997" s="1" t="s">
        <v>48</v>
      </c>
      <c r="N997" s="1">
        <v>2018</v>
      </c>
      <c r="O997" t="str" cm="1">
        <f t="array" ref="O997">_xlfn.IFS(OR($K997="Ghana", $K997="Nigeria"), "Anglophone", OR($K997="Togo", $K997="Benin", $K997="Senegal"), "Francophone")</f>
        <v>Anglophone</v>
      </c>
      <c r="P997" s="1" t="str">
        <f>LEFT(Int_breweries[[#This Row],[MONTHS]], 3)</f>
        <v>Dec</v>
      </c>
    </row>
    <row r="998" spans="1:16" ht="12.5" x14ac:dyDescent="0.25">
      <c r="A998" s="1">
        <v>11097</v>
      </c>
      <c r="B998" s="1" t="s">
        <v>22</v>
      </c>
      <c r="C998" s="1" t="s">
        <v>23</v>
      </c>
      <c r="D998" t="s">
        <v>65</v>
      </c>
      <c r="E998" s="1">
        <v>180</v>
      </c>
      <c r="F998" s="1">
        <v>450</v>
      </c>
      <c r="G998" s="1">
        <v>736</v>
      </c>
      <c r="H998" s="1">
        <f>Int_breweries[[#This Row],[PLANT_COST]]*Int_breweries[[#This Row],[QUANTITY]]</f>
        <v>132480</v>
      </c>
      <c r="I998" s="1">
        <v>331200</v>
      </c>
      <c r="J998" s="1">
        <v>198720</v>
      </c>
      <c r="K998" s="1" t="s">
        <v>19</v>
      </c>
      <c r="L998" t="s">
        <v>61</v>
      </c>
      <c r="M998" s="1" t="s">
        <v>16</v>
      </c>
      <c r="N998" s="1">
        <v>2019</v>
      </c>
      <c r="O998" t="str" cm="1">
        <f t="array" ref="O998">_xlfn.IFS(OR($K998="Ghana", $K998="Nigeria"), "Anglophone", OR($K998="Togo", $K998="Benin", $K998="Senegal"), "Francophone")</f>
        <v>Anglophone</v>
      </c>
      <c r="P998" s="1" t="str">
        <f>LEFT(Int_breweries[[#This Row],[MONTHS]], 3)</f>
        <v>Jan</v>
      </c>
    </row>
    <row r="999" spans="1:16" ht="12.5" x14ac:dyDescent="0.25">
      <c r="A999" s="1">
        <v>11098</v>
      </c>
      <c r="B999" s="1" t="s">
        <v>17</v>
      </c>
      <c r="C999" s="1" t="s">
        <v>18</v>
      </c>
      <c r="D999" t="s">
        <v>66</v>
      </c>
      <c r="E999" s="1">
        <v>170</v>
      </c>
      <c r="F999" s="1">
        <v>250</v>
      </c>
      <c r="G999" s="1">
        <v>857</v>
      </c>
      <c r="H999" s="1">
        <f>Int_breweries[[#This Row],[PLANT_COST]]*Int_breweries[[#This Row],[QUANTITY]]</f>
        <v>145690</v>
      </c>
      <c r="I999" s="1">
        <v>214250</v>
      </c>
      <c r="J999" s="1">
        <v>68560</v>
      </c>
      <c r="K999" s="1" t="s">
        <v>24</v>
      </c>
      <c r="L999" t="s">
        <v>62</v>
      </c>
      <c r="M999" s="1" t="s">
        <v>21</v>
      </c>
      <c r="N999" s="1">
        <v>2018</v>
      </c>
      <c r="O999" t="str" cm="1">
        <f t="array" ref="O999">_xlfn.IFS(OR($K999="Ghana", $K999="Nigeria"), "Anglophone", OR($K999="Togo", $K999="Benin", $K999="Senegal"), "Francophone")</f>
        <v>Francophone</v>
      </c>
      <c r="P999" s="1" t="str">
        <f>LEFT(Int_breweries[[#This Row],[MONTHS]], 3)</f>
        <v>Feb</v>
      </c>
    </row>
    <row r="1000" spans="1:16" ht="12.5" x14ac:dyDescent="0.25">
      <c r="A1000" s="1">
        <v>11099</v>
      </c>
      <c r="B1000" s="1" t="s">
        <v>22</v>
      </c>
      <c r="C1000" s="1" t="s">
        <v>23</v>
      </c>
      <c r="D1000" t="s">
        <v>67</v>
      </c>
      <c r="E1000" s="1">
        <v>150</v>
      </c>
      <c r="F1000" s="1">
        <v>200</v>
      </c>
      <c r="G1000" s="1">
        <v>938</v>
      </c>
      <c r="H1000" s="1">
        <f>Int_breweries[[#This Row],[PLANT_COST]]*Int_breweries[[#This Row],[QUANTITY]]</f>
        <v>140700</v>
      </c>
      <c r="I1000" s="1">
        <v>187600</v>
      </c>
      <c r="J1000" s="1">
        <v>46900</v>
      </c>
      <c r="K1000" s="1" t="s">
        <v>28</v>
      </c>
      <c r="L1000" t="s">
        <v>15</v>
      </c>
      <c r="M1000" s="1" t="s">
        <v>25</v>
      </c>
      <c r="N1000" s="1">
        <v>2018</v>
      </c>
      <c r="O1000" t="str" cm="1">
        <f t="array" ref="O1000">_xlfn.IFS(OR($K1000="Ghana", $K1000="Nigeria"), "Anglophone", OR($K1000="Togo", $K1000="Benin", $K1000="Senegal"), "Francophone")</f>
        <v>Francophone</v>
      </c>
      <c r="P1000" s="1" t="str">
        <f>LEFT(Int_breweries[[#This Row],[MONTHS]], 3)</f>
        <v>Mar</v>
      </c>
    </row>
    <row r="1001" spans="1:16" ht="12.5" x14ac:dyDescent="0.25">
      <c r="A1001" s="1">
        <v>11100</v>
      </c>
      <c r="B1001" s="1" t="s">
        <v>35</v>
      </c>
      <c r="C1001" s="1" t="s">
        <v>36</v>
      </c>
      <c r="D1001" t="s">
        <v>68</v>
      </c>
      <c r="E1001" s="1">
        <v>80</v>
      </c>
      <c r="F1001" s="1">
        <v>150</v>
      </c>
      <c r="G1001" s="1">
        <v>785</v>
      </c>
      <c r="H1001" s="1">
        <f>Int_breweries[[#This Row],[PLANT_COST]]*Int_breweries[[#This Row],[QUANTITY]]</f>
        <v>62800</v>
      </c>
      <c r="I1001" s="1">
        <v>117750</v>
      </c>
      <c r="J1001" s="1">
        <v>54950</v>
      </c>
      <c r="K1001" s="1" t="s">
        <v>32</v>
      </c>
      <c r="L1001" t="s">
        <v>58</v>
      </c>
      <c r="M1001" s="1" t="s">
        <v>29</v>
      </c>
      <c r="N1001" s="1">
        <v>2018</v>
      </c>
      <c r="O1001" t="str" cm="1">
        <f t="array" ref="O1001">_xlfn.IFS(OR($K1001="Ghana", $K1001="Nigeria"), "Anglophone", OR($K1001="Togo", $K1001="Benin", $K1001="Senegal"), "Francophone")</f>
        <v>Francophone</v>
      </c>
      <c r="P1001" s="1" t="str">
        <f>LEFT(Int_breweries[[#This Row],[MONTHS]], 3)</f>
        <v>Apr</v>
      </c>
    </row>
    <row r="1002" spans="1:16" ht="12.5" x14ac:dyDescent="0.25">
      <c r="A1002" s="1">
        <v>11101</v>
      </c>
      <c r="B1002" s="1" t="s">
        <v>30</v>
      </c>
      <c r="C1002" s="1" t="s">
        <v>31</v>
      </c>
      <c r="D1002" t="s">
        <v>69</v>
      </c>
      <c r="E1002" s="1">
        <v>90</v>
      </c>
      <c r="F1002" s="1">
        <v>150</v>
      </c>
      <c r="G1002" s="1">
        <v>910</v>
      </c>
      <c r="H1002" s="1">
        <f>Int_breweries[[#This Row],[PLANT_COST]]*Int_breweries[[#This Row],[QUANTITY]]</f>
        <v>81900</v>
      </c>
      <c r="I1002" s="1">
        <v>136500</v>
      </c>
      <c r="J1002" s="1">
        <v>54600</v>
      </c>
      <c r="K1002" s="1" t="s">
        <v>14</v>
      </c>
      <c r="L1002" t="s">
        <v>59</v>
      </c>
      <c r="M1002" s="1" t="s">
        <v>33</v>
      </c>
      <c r="N1002" s="1">
        <v>2018</v>
      </c>
      <c r="O1002" t="str" cm="1">
        <f t="array" ref="O1002">_xlfn.IFS(OR($K1002="Ghana", $K1002="Nigeria"), "Anglophone", OR($K1002="Togo", $K1002="Benin", $K1002="Senegal"), "Francophone")</f>
        <v>Anglophone</v>
      </c>
      <c r="P1002" s="1" t="str">
        <f>LEFT(Int_breweries[[#This Row],[MONTHS]], 3)</f>
        <v>May</v>
      </c>
    </row>
    <row r="1003" spans="1:16" ht="12.5" x14ac:dyDescent="0.25">
      <c r="A1003" s="1">
        <v>11102</v>
      </c>
      <c r="B1003" s="1" t="s">
        <v>12</v>
      </c>
      <c r="C1003" s="1" t="s">
        <v>13</v>
      </c>
      <c r="D1003" t="s">
        <v>63</v>
      </c>
      <c r="E1003" s="1">
        <v>150</v>
      </c>
      <c r="F1003" s="1">
        <v>200</v>
      </c>
      <c r="G1003" s="1">
        <v>838</v>
      </c>
      <c r="H1003" s="1">
        <f>Int_breweries[[#This Row],[PLANT_COST]]*Int_breweries[[#This Row],[QUANTITY]]</f>
        <v>125700</v>
      </c>
      <c r="I1003" s="1">
        <v>167600</v>
      </c>
      <c r="J1003" s="1">
        <v>41900</v>
      </c>
      <c r="K1003" s="1" t="s">
        <v>19</v>
      </c>
      <c r="L1003" t="s">
        <v>60</v>
      </c>
      <c r="M1003" s="1" t="s">
        <v>34</v>
      </c>
      <c r="N1003" s="1">
        <v>2019</v>
      </c>
      <c r="O1003" t="str" cm="1">
        <f t="array" ref="O1003">_xlfn.IFS(OR($K1003="Ghana", $K1003="Nigeria"), "Anglophone", OR($K1003="Togo", $K1003="Benin", $K1003="Senegal"), "Francophone")</f>
        <v>Anglophone</v>
      </c>
      <c r="P1003" s="1" t="str">
        <f>LEFT(Int_breweries[[#This Row],[MONTHS]], 3)</f>
        <v>Jun</v>
      </c>
    </row>
    <row r="1004" spans="1:16" ht="12.5" x14ac:dyDescent="0.25">
      <c r="A1004" s="1">
        <v>11103</v>
      </c>
      <c r="B1004" s="1" t="s">
        <v>12</v>
      </c>
      <c r="C1004" s="1" t="s">
        <v>13</v>
      </c>
      <c r="D1004" t="s">
        <v>64</v>
      </c>
      <c r="E1004" s="1">
        <v>250</v>
      </c>
      <c r="F1004" s="1">
        <v>500</v>
      </c>
      <c r="G1004" s="1">
        <v>943</v>
      </c>
      <c r="H1004" s="1">
        <f>Int_breweries[[#This Row],[PLANT_COST]]*Int_breweries[[#This Row],[QUANTITY]]</f>
        <v>235750</v>
      </c>
      <c r="I1004" s="1">
        <v>471500</v>
      </c>
      <c r="J1004" s="1">
        <v>235750</v>
      </c>
      <c r="K1004" s="1" t="s">
        <v>24</v>
      </c>
      <c r="L1004" t="s">
        <v>61</v>
      </c>
      <c r="M1004" s="1" t="s">
        <v>37</v>
      </c>
      <c r="N1004" s="1">
        <v>2019</v>
      </c>
      <c r="O1004" t="str" cm="1">
        <f t="array" ref="O1004">_xlfn.IFS(OR($K1004="Ghana", $K1004="Nigeria"), "Anglophone", OR($K1004="Togo", $K1004="Benin", $K1004="Senegal"), "Francophone")</f>
        <v>Francophone</v>
      </c>
      <c r="P1004" s="1" t="str">
        <f>LEFT(Int_breweries[[#This Row],[MONTHS]], 3)</f>
        <v>Jul</v>
      </c>
    </row>
    <row r="1005" spans="1:16" ht="12.5" x14ac:dyDescent="0.25">
      <c r="A1005" s="1">
        <v>11104</v>
      </c>
      <c r="B1005" s="1" t="s">
        <v>30</v>
      </c>
      <c r="C1005" s="1" t="s">
        <v>31</v>
      </c>
      <c r="D1005" t="s">
        <v>65</v>
      </c>
      <c r="E1005" s="1">
        <v>180</v>
      </c>
      <c r="F1005" s="1">
        <v>450</v>
      </c>
      <c r="G1005" s="1">
        <v>771</v>
      </c>
      <c r="H1005" s="1">
        <f>Int_breweries[[#This Row],[PLANT_COST]]*Int_breweries[[#This Row],[QUANTITY]]</f>
        <v>138780</v>
      </c>
      <c r="I1005" s="1">
        <v>346950</v>
      </c>
      <c r="J1005" s="1">
        <v>208170</v>
      </c>
      <c r="K1005" s="1" t="s">
        <v>28</v>
      </c>
      <c r="L1005" t="s">
        <v>62</v>
      </c>
      <c r="M1005" s="1" t="s">
        <v>38</v>
      </c>
      <c r="N1005" s="1">
        <v>2019</v>
      </c>
      <c r="O1005" t="str" cm="1">
        <f t="array" ref="O1005">_xlfn.IFS(OR($K1005="Ghana", $K1005="Nigeria"), "Anglophone", OR($K1005="Togo", $K1005="Benin", $K1005="Senegal"), "Francophone")</f>
        <v>Francophone</v>
      </c>
      <c r="P1005" s="1" t="str">
        <f>LEFT(Int_breweries[[#This Row],[MONTHS]], 3)</f>
        <v>Aug</v>
      </c>
    </row>
    <row r="1006" spans="1:16" ht="12.5" x14ac:dyDescent="0.25">
      <c r="A1006" s="1">
        <v>11105</v>
      </c>
      <c r="B1006" s="1" t="s">
        <v>12</v>
      </c>
      <c r="C1006" s="1" t="s">
        <v>13</v>
      </c>
      <c r="D1006" t="s">
        <v>66</v>
      </c>
      <c r="E1006" s="1">
        <v>170</v>
      </c>
      <c r="F1006" s="1">
        <v>250</v>
      </c>
      <c r="G1006" s="1">
        <v>881</v>
      </c>
      <c r="H1006" s="1">
        <f>Int_breweries[[#This Row],[PLANT_COST]]*Int_breweries[[#This Row],[QUANTITY]]</f>
        <v>149770</v>
      </c>
      <c r="I1006" s="1">
        <v>220250</v>
      </c>
      <c r="J1006" s="1">
        <v>70480</v>
      </c>
      <c r="K1006" s="1" t="s">
        <v>32</v>
      </c>
      <c r="L1006" t="s">
        <v>15</v>
      </c>
      <c r="M1006" s="1" t="s">
        <v>41</v>
      </c>
      <c r="N1006" s="1">
        <v>2017</v>
      </c>
      <c r="O1006" t="str" cm="1">
        <f t="array" ref="O1006">_xlfn.IFS(OR($K1006="Ghana", $K1006="Nigeria"), "Anglophone", OR($K1006="Togo", $K1006="Benin", $K1006="Senegal"), "Francophone")</f>
        <v>Francophone</v>
      </c>
      <c r="P1006" s="1" t="str">
        <f>LEFT(Int_breweries[[#This Row],[MONTHS]], 3)</f>
        <v>Sep</v>
      </c>
    </row>
    <row r="1007" spans="1:16" ht="12.5" x14ac:dyDescent="0.25">
      <c r="A1007" s="1">
        <v>11106</v>
      </c>
      <c r="B1007" s="1" t="s">
        <v>17</v>
      </c>
      <c r="C1007" s="1" t="s">
        <v>18</v>
      </c>
      <c r="D1007" t="s">
        <v>67</v>
      </c>
      <c r="E1007" s="1">
        <v>150</v>
      </c>
      <c r="F1007" s="1">
        <v>200</v>
      </c>
      <c r="G1007" s="1">
        <v>973</v>
      </c>
      <c r="H1007" s="1">
        <f>Int_breweries[[#This Row],[PLANT_COST]]*Int_breweries[[#This Row],[QUANTITY]]</f>
        <v>145950</v>
      </c>
      <c r="I1007" s="1">
        <v>194600</v>
      </c>
      <c r="J1007" s="1">
        <v>48650</v>
      </c>
      <c r="K1007" s="1" t="s">
        <v>14</v>
      </c>
      <c r="L1007" t="s">
        <v>58</v>
      </c>
      <c r="M1007" s="1" t="s">
        <v>44</v>
      </c>
      <c r="N1007" s="1">
        <v>2017</v>
      </c>
      <c r="O1007" t="str" cm="1">
        <f t="array" ref="O1007">_xlfn.IFS(OR($K1007="Ghana", $K1007="Nigeria"), "Anglophone", OR($K1007="Togo", $K1007="Benin", $K1007="Senegal"), "Francophone")</f>
        <v>Anglophone</v>
      </c>
      <c r="P1007" s="1" t="str">
        <f>LEFT(Int_breweries[[#This Row],[MONTHS]], 3)</f>
        <v>Oct</v>
      </c>
    </row>
    <row r="1008" spans="1:16" ht="12.5" x14ac:dyDescent="0.25">
      <c r="A1008" s="1">
        <v>11107</v>
      </c>
      <c r="B1008" s="1" t="s">
        <v>22</v>
      </c>
      <c r="C1008" s="1" t="s">
        <v>23</v>
      </c>
      <c r="D1008" t="s">
        <v>68</v>
      </c>
      <c r="E1008" s="1">
        <v>80</v>
      </c>
      <c r="F1008" s="1">
        <v>150</v>
      </c>
      <c r="G1008" s="1">
        <v>786</v>
      </c>
      <c r="H1008" s="1">
        <f>Int_breweries[[#This Row],[PLANT_COST]]*Int_breweries[[#This Row],[QUANTITY]]</f>
        <v>62880</v>
      </c>
      <c r="I1008" s="1">
        <v>117900</v>
      </c>
      <c r="J1008" s="1">
        <v>55020</v>
      </c>
      <c r="K1008" s="1" t="s">
        <v>19</v>
      </c>
      <c r="L1008" t="s">
        <v>59</v>
      </c>
      <c r="M1008" s="1" t="s">
        <v>47</v>
      </c>
      <c r="N1008" s="1">
        <v>2017</v>
      </c>
      <c r="O1008" t="str" cm="1">
        <f t="array" ref="O1008">_xlfn.IFS(OR($K1008="Ghana", $K1008="Nigeria"), "Anglophone", OR($K1008="Togo", $K1008="Benin", $K1008="Senegal"), "Francophone")</f>
        <v>Anglophone</v>
      </c>
      <c r="P1008" s="1" t="str">
        <f>LEFT(Int_breweries[[#This Row],[MONTHS]], 3)</f>
        <v>Nov</v>
      </c>
    </row>
    <row r="1009" spans="1:16" ht="12.5" x14ac:dyDescent="0.25">
      <c r="A1009" s="1">
        <v>11108</v>
      </c>
      <c r="B1009" s="1" t="s">
        <v>26</v>
      </c>
      <c r="C1009" s="1" t="s">
        <v>27</v>
      </c>
      <c r="D1009" t="s">
        <v>69</v>
      </c>
      <c r="E1009" s="1">
        <v>90</v>
      </c>
      <c r="F1009" s="1">
        <v>150</v>
      </c>
      <c r="G1009" s="1">
        <v>904</v>
      </c>
      <c r="H1009" s="1">
        <f>Int_breweries[[#This Row],[PLANT_COST]]*Int_breweries[[#This Row],[QUANTITY]]</f>
        <v>81360</v>
      </c>
      <c r="I1009" s="1">
        <v>135600</v>
      </c>
      <c r="J1009" s="1">
        <v>54240</v>
      </c>
      <c r="K1009" s="1" t="s">
        <v>24</v>
      </c>
      <c r="L1009" t="s">
        <v>60</v>
      </c>
      <c r="M1009" s="1" t="s">
        <v>48</v>
      </c>
      <c r="N1009" s="1">
        <v>2018</v>
      </c>
      <c r="O1009" t="str" cm="1">
        <f t="array" ref="O1009">_xlfn.IFS(OR($K1009="Ghana", $K1009="Nigeria"), "Anglophone", OR($K1009="Togo", $K1009="Benin", $K1009="Senegal"), "Francophone")</f>
        <v>Francophone</v>
      </c>
      <c r="P1009" s="1" t="str">
        <f>LEFT(Int_breweries[[#This Row],[MONTHS]], 3)</f>
        <v>Dec</v>
      </c>
    </row>
    <row r="1010" spans="1:16" ht="12.5" x14ac:dyDescent="0.25">
      <c r="A1010" s="1">
        <v>11109</v>
      </c>
      <c r="B1010" s="1" t="s">
        <v>30</v>
      </c>
      <c r="C1010" s="1" t="s">
        <v>31</v>
      </c>
      <c r="D1010" t="s">
        <v>63</v>
      </c>
      <c r="E1010" s="1">
        <v>150</v>
      </c>
      <c r="F1010" s="1">
        <v>200</v>
      </c>
      <c r="G1010" s="1">
        <v>912</v>
      </c>
      <c r="H1010" s="1">
        <f>Int_breweries[[#This Row],[PLANT_COST]]*Int_breweries[[#This Row],[QUANTITY]]</f>
        <v>136800</v>
      </c>
      <c r="I1010" s="1">
        <v>182400</v>
      </c>
      <c r="J1010" s="1">
        <v>45600</v>
      </c>
      <c r="K1010" s="1" t="s">
        <v>28</v>
      </c>
      <c r="L1010" t="s">
        <v>61</v>
      </c>
      <c r="M1010" s="1" t="s">
        <v>16</v>
      </c>
      <c r="N1010" s="1">
        <v>2018</v>
      </c>
      <c r="O1010" t="str" cm="1">
        <f t="array" ref="O1010">_xlfn.IFS(OR($K1010="Ghana", $K1010="Nigeria"), "Anglophone", OR($K1010="Togo", $K1010="Benin", $K1010="Senegal"), "Francophone")</f>
        <v>Francophone</v>
      </c>
      <c r="P1010" s="1" t="str">
        <f>LEFT(Int_breweries[[#This Row],[MONTHS]], 3)</f>
        <v>Jan</v>
      </c>
    </row>
    <row r="1011" spans="1:16" ht="12.5" x14ac:dyDescent="0.25">
      <c r="A1011" s="1">
        <v>11110</v>
      </c>
      <c r="B1011" s="1" t="s">
        <v>12</v>
      </c>
      <c r="C1011" s="1" t="s">
        <v>13</v>
      </c>
      <c r="D1011" t="s">
        <v>64</v>
      </c>
      <c r="E1011" s="1">
        <v>250</v>
      </c>
      <c r="F1011" s="1">
        <v>500</v>
      </c>
      <c r="G1011" s="1">
        <v>734</v>
      </c>
      <c r="H1011" s="1">
        <f>Int_breweries[[#This Row],[PLANT_COST]]*Int_breweries[[#This Row],[QUANTITY]]</f>
        <v>183500</v>
      </c>
      <c r="I1011" s="1">
        <v>367000</v>
      </c>
      <c r="J1011" s="1">
        <v>183500</v>
      </c>
      <c r="K1011" s="1" t="s">
        <v>32</v>
      </c>
      <c r="L1011" t="s">
        <v>62</v>
      </c>
      <c r="M1011" s="1" t="s">
        <v>21</v>
      </c>
      <c r="N1011" s="1">
        <v>2018</v>
      </c>
      <c r="O1011" t="str" cm="1">
        <f t="array" ref="O1011">_xlfn.IFS(OR($K1011="Ghana", $K1011="Nigeria"), "Anglophone", OR($K1011="Togo", $K1011="Benin", $K1011="Senegal"), "Francophone")</f>
        <v>Francophone</v>
      </c>
      <c r="P1011" s="1" t="str">
        <f>LEFT(Int_breweries[[#This Row],[MONTHS]], 3)</f>
        <v>Feb</v>
      </c>
    </row>
    <row r="1012" spans="1:16" ht="12.5" x14ac:dyDescent="0.25">
      <c r="A1012" s="1">
        <v>11111</v>
      </c>
      <c r="B1012" s="1" t="s">
        <v>35</v>
      </c>
      <c r="C1012" s="1" t="s">
        <v>36</v>
      </c>
      <c r="D1012" t="s">
        <v>65</v>
      </c>
      <c r="E1012" s="1">
        <v>180</v>
      </c>
      <c r="F1012" s="1">
        <v>450</v>
      </c>
      <c r="G1012" s="1">
        <v>977</v>
      </c>
      <c r="H1012" s="1">
        <f>Int_breweries[[#This Row],[PLANT_COST]]*Int_breweries[[#This Row],[QUANTITY]]</f>
        <v>175860</v>
      </c>
      <c r="I1012" s="1">
        <v>439650</v>
      </c>
      <c r="J1012" s="1">
        <v>263790</v>
      </c>
      <c r="K1012" s="1" t="s">
        <v>14</v>
      </c>
      <c r="L1012" t="s">
        <v>15</v>
      </c>
      <c r="M1012" s="1" t="s">
        <v>25</v>
      </c>
      <c r="N1012" s="1">
        <v>2017</v>
      </c>
      <c r="O1012" t="str" cm="1">
        <f t="array" ref="O1012">_xlfn.IFS(OR($K1012="Ghana", $K1012="Nigeria"), "Anglophone", OR($K1012="Togo", $K1012="Benin", $K1012="Senegal"), "Francophone")</f>
        <v>Anglophone</v>
      </c>
      <c r="P1012" s="1" t="str">
        <f>LEFT(Int_breweries[[#This Row],[MONTHS]], 3)</f>
        <v>Mar</v>
      </c>
    </row>
    <row r="1013" spans="1:16" ht="12.5" x14ac:dyDescent="0.25">
      <c r="A1013" s="1">
        <v>11112</v>
      </c>
      <c r="B1013" s="1" t="s">
        <v>26</v>
      </c>
      <c r="C1013" s="1" t="s">
        <v>27</v>
      </c>
      <c r="D1013" t="s">
        <v>66</v>
      </c>
      <c r="E1013" s="1">
        <v>170</v>
      </c>
      <c r="F1013" s="1">
        <v>250</v>
      </c>
      <c r="G1013" s="1">
        <v>711</v>
      </c>
      <c r="H1013" s="1">
        <f>Int_breweries[[#This Row],[PLANT_COST]]*Int_breweries[[#This Row],[QUANTITY]]</f>
        <v>120870</v>
      </c>
      <c r="I1013" s="1">
        <v>177750</v>
      </c>
      <c r="J1013" s="1">
        <v>56880</v>
      </c>
      <c r="K1013" s="1" t="s">
        <v>19</v>
      </c>
      <c r="L1013" t="s">
        <v>58</v>
      </c>
      <c r="M1013" s="1" t="s">
        <v>29</v>
      </c>
      <c r="N1013" s="1">
        <v>2017</v>
      </c>
      <c r="O1013" t="str" cm="1">
        <f t="array" ref="O1013">_xlfn.IFS(OR($K1013="Ghana", $K1013="Nigeria"), "Anglophone", OR($K1013="Togo", $K1013="Benin", $K1013="Senegal"), "Francophone")</f>
        <v>Anglophone</v>
      </c>
      <c r="P1013" s="1" t="str">
        <f>LEFT(Int_breweries[[#This Row],[MONTHS]], 3)</f>
        <v>Apr</v>
      </c>
    </row>
    <row r="1014" spans="1:16" ht="12.5" x14ac:dyDescent="0.25">
      <c r="A1014" s="1">
        <v>11113</v>
      </c>
      <c r="B1014" s="1" t="s">
        <v>39</v>
      </c>
      <c r="C1014" s="1" t="s">
        <v>40</v>
      </c>
      <c r="D1014" t="s">
        <v>67</v>
      </c>
      <c r="E1014" s="1">
        <v>150</v>
      </c>
      <c r="F1014" s="1">
        <v>200</v>
      </c>
      <c r="G1014" s="1">
        <v>727</v>
      </c>
      <c r="H1014" s="1">
        <f>Int_breweries[[#This Row],[PLANT_COST]]*Int_breweries[[#This Row],[QUANTITY]]</f>
        <v>109050</v>
      </c>
      <c r="I1014" s="1">
        <v>145400</v>
      </c>
      <c r="J1014" s="1">
        <v>36350</v>
      </c>
      <c r="K1014" s="1" t="s">
        <v>24</v>
      </c>
      <c r="L1014" t="s">
        <v>59</v>
      </c>
      <c r="M1014" s="1" t="s">
        <v>33</v>
      </c>
      <c r="N1014" s="1">
        <v>2017</v>
      </c>
      <c r="O1014" t="str" cm="1">
        <f t="array" ref="O1014">_xlfn.IFS(OR($K1014="Ghana", $K1014="Nigeria"), "Anglophone", OR($K1014="Togo", $K1014="Benin", $K1014="Senegal"), "Francophone")</f>
        <v>Francophone</v>
      </c>
      <c r="P1014" s="1" t="str">
        <f>LEFT(Int_breweries[[#This Row],[MONTHS]], 3)</f>
        <v>May</v>
      </c>
    </row>
    <row r="1015" spans="1:16" ht="12.5" x14ac:dyDescent="0.25">
      <c r="A1015" s="1">
        <v>11114</v>
      </c>
      <c r="B1015" s="1" t="s">
        <v>42</v>
      </c>
      <c r="C1015" s="1" t="s">
        <v>43</v>
      </c>
      <c r="D1015" t="s">
        <v>68</v>
      </c>
      <c r="E1015" s="1">
        <v>80</v>
      </c>
      <c r="F1015" s="1">
        <v>150</v>
      </c>
      <c r="G1015" s="1">
        <v>732</v>
      </c>
      <c r="H1015" s="1">
        <f>Int_breweries[[#This Row],[PLANT_COST]]*Int_breweries[[#This Row],[QUANTITY]]</f>
        <v>58560</v>
      </c>
      <c r="I1015" s="1">
        <v>109800</v>
      </c>
      <c r="J1015" s="1">
        <v>51240</v>
      </c>
      <c r="K1015" s="1" t="s">
        <v>28</v>
      </c>
      <c r="L1015" t="s">
        <v>60</v>
      </c>
      <c r="M1015" s="1" t="s">
        <v>34</v>
      </c>
      <c r="N1015" s="1">
        <v>2017</v>
      </c>
      <c r="O1015" t="str" cm="1">
        <f t="array" ref="O1015">_xlfn.IFS(OR($K1015="Ghana", $K1015="Nigeria"), "Anglophone", OR($K1015="Togo", $K1015="Benin", $K1015="Senegal"), "Francophone")</f>
        <v>Francophone</v>
      </c>
      <c r="P1015" s="1" t="str">
        <f>LEFT(Int_breweries[[#This Row],[MONTHS]], 3)</f>
        <v>Jun</v>
      </c>
    </row>
    <row r="1016" spans="1:16" ht="12.5" x14ac:dyDescent="0.25">
      <c r="A1016" s="1">
        <v>11115</v>
      </c>
      <c r="B1016" s="1" t="s">
        <v>45</v>
      </c>
      <c r="C1016" s="1" t="s">
        <v>46</v>
      </c>
      <c r="D1016" t="s">
        <v>69</v>
      </c>
      <c r="E1016" s="1">
        <v>90</v>
      </c>
      <c r="F1016" s="1">
        <v>150</v>
      </c>
      <c r="G1016" s="1">
        <v>908</v>
      </c>
      <c r="H1016" s="1">
        <f>Int_breweries[[#This Row],[PLANT_COST]]*Int_breweries[[#This Row],[QUANTITY]]</f>
        <v>81720</v>
      </c>
      <c r="I1016" s="1">
        <v>136200</v>
      </c>
      <c r="J1016" s="1">
        <v>54480</v>
      </c>
      <c r="K1016" s="1" t="s">
        <v>32</v>
      </c>
      <c r="L1016" t="s">
        <v>61</v>
      </c>
      <c r="M1016" s="1" t="s">
        <v>37</v>
      </c>
      <c r="N1016" s="1">
        <v>2018</v>
      </c>
      <c r="O1016" t="str" cm="1">
        <f t="array" ref="O1016">_xlfn.IFS(OR($K1016="Ghana", $K1016="Nigeria"), "Anglophone", OR($K1016="Togo", $K1016="Benin", $K1016="Senegal"), "Francophone")</f>
        <v>Francophone</v>
      </c>
      <c r="P1016" s="1" t="str">
        <f>LEFT(Int_breweries[[#This Row],[MONTHS]], 3)</f>
        <v>Jul</v>
      </c>
    </row>
    <row r="1017" spans="1:16" ht="12.5" x14ac:dyDescent="0.25">
      <c r="A1017" s="1">
        <v>11116</v>
      </c>
      <c r="B1017" s="1" t="s">
        <v>26</v>
      </c>
      <c r="C1017" s="1" t="s">
        <v>27</v>
      </c>
      <c r="D1017" t="s">
        <v>63</v>
      </c>
      <c r="E1017" s="1">
        <v>150</v>
      </c>
      <c r="F1017" s="1">
        <v>200</v>
      </c>
      <c r="G1017" s="1">
        <v>767</v>
      </c>
      <c r="H1017" s="1">
        <f>Int_breweries[[#This Row],[PLANT_COST]]*Int_breweries[[#This Row],[QUANTITY]]</f>
        <v>115050</v>
      </c>
      <c r="I1017" s="1">
        <v>153400</v>
      </c>
      <c r="J1017" s="1">
        <v>38350</v>
      </c>
      <c r="K1017" s="1" t="s">
        <v>14</v>
      </c>
      <c r="L1017" t="s">
        <v>62</v>
      </c>
      <c r="M1017" s="1" t="s">
        <v>38</v>
      </c>
      <c r="N1017" s="1">
        <v>2017</v>
      </c>
      <c r="O1017" t="str" cm="1">
        <f t="array" ref="O1017">_xlfn.IFS(OR($K1017="Ghana", $K1017="Nigeria"), "Anglophone", OR($K1017="Togo", $K1017="Benin", $K1017="Senegal"), "Francophone")</f>
        <v>Anglophone</v>
      </c>
      <c r="P1017" s="1" t="str">
        <f>LEFT(Int_breweries[[#This Row],[MONTHS]], 3)</f>
        <v>Aug</v>
      </c>
    </row>
    <row r="1018" spans="1:16" ht="12.5" x14ac:dyDescent="0.25">
      <c r="A1018" s="1">
        <v>11117</v>
      </c>
      <c r="B1018" s="1" t="s">
        <v>49</v>
      </c>
      <c r="C1018" s="1" t="s">
        <v>50</v>
      </c>
      <c r="D1018" t="s">
        <v>64</v>
      </c>
      <c r="E1018" s="1">
        <v>250</v>
      </c>
      <c r="F1018" s="1">
        <v>500</v>
      </c>
      <c r="G1018" s="1">
        <v>847</v>
      </c>
      <c r="H1018" s="1">
        <f>Int_breweries[[#This Row],[PLANT_COST]]*Int_breweries[[#This Row],[QUANTITY]]</f>
        <v>211750</v>
      </c>
      <c r="I1018" s="1">
        <v>423500</v>
      </c>
      <c r="J1018" s="1">
        <v>211750</v>
      </c>
      <c r="K1018" s="1" t="s">
        <v>19</v>
      </c>
      <c r="L1018" t="s">
        <v>15</v>
      </c>
      <c r="M1018" s="1" t="s">
        <v>41</v>
      </c>
      <c r="N1018" s="1">
        <v>2019</v>
      </c>
      <c r="O1018" t="str" cm="1">
        <f t="array" ref="O1018">_xlfn.IFS(OR($K1018="Ghana", $K1018="Nigeria"), "Anglophone", OR($K1018="Togo", $K1018="Benin", $K1018="Senegal"), "Francophone")</f>
        <v>Anglophone</v>
      </c>
      <c r="P1018" s="1" t="str">
        <f>LEFT(Int_breweries[[#This Row],[MONTHS]], 3)</f>
        <v>Sep</v>
      </c>
    </row>
    <row r="1019" spans="1:16" ht="12.5" x14ac:dyDescent="0.25">
      <c r="A1019" s="1">
        <v>11118</v>
      </c>
      <c r="B1019" s="1" t="s">
        <v>26</v>
      </c>
      <c r="C1019" s="1" t="s">
        <v>27</v>
      </c>
      <c r="D1019" t="s">
        <v>65</v>
      </c>
      <c r="E1019" s="1">
        <v>180</v>
      </c>
      <c r="F1019" s="1">
        <v>450</v>
      </c>
      <c r="G1019" s="1">
        <v>968</v>
      </c>
      <c r="H1019" s="1">
        <f>Int_breweries[[#This Row],[PLANT_COST]]*Int_breweries[[#This Row],[QUANTITY]]</f>
        <v>174240</v>
      </c>
      <c r="I1019" s="1">
        <v>435600</v>
      </c>
      <c r="J1019" s="1">
        <v>261360</v>
      </c>
      <c r="K1019" s="1" t="s">
        <v>24</v>
      </c>
      <c r="L1019" t="s">
        <v>58</v>
      </c>
      <c r="M1019" s="1" t="s">
        <v>44</v>
      </c>
      <c r="N1019" s="1">
        <v>2019</v>
      </c>
      <c r="O1019" t="str" cm="1">
        <f t="array" ref="O1019">_xlfn.IFS(OR($K1019="Ghana", $K1019="Nigeria"), "Anglophone", OR($K1019="Togo", $K1019="Benin", $K1019="Senegal"), "Francophone")</f>
        <v>Francophone</v>
      </c>
      <c r="P1019" s="1" t="str">
        <f>LEFT(Int_breweries[[#This Row],[MONTHS]], 3)</f>
        <v>Oct</v>
      </c>
    </row>
    <row r="1020" spans="1:16" ht="12.5" x14ac:dyDescent="0.25">
      <c r="A1020" s="1">
        <v>11119</v>
      </c>
      <c r="B1020" s="1" t="s">
        <v>39</v>
      </c>
      <c r="C1020" s="1" t="s">
        <v>40</v>
      </c>
      <c r="D1020" t="s">
        <v>66</v>
      </c>
      <c r="E1020" s="1">
        <v>170</v>
      </c>
      <c r="F1020" s="1">
        <v>250</v>
      </c>
      <c r="G1020" s="1">
        <v>832</v>
      </c>
      <c r="H1020" s="1">
        <f>Int_breweries[[#This Row],[PLANT_COST]]*Int_breweries[[#This Row],[QUANTITY]]</f>
        <v>141440</v>
      </c>
      <c r="I1020" s="1">
        <v>208000</v>
      </c>
      <c r="J1020" s="1">
        <v>66560</v>
      </c>
      <c r="K1020" s="1" t="s">
        <v>28</v>
      </c>
      <c r="L1020" t="s">
        <v>59</v>
      </c>
      <c r="M1020" s="1" t="s">
        <v>47</v>
      </c>
      <c r="N1020" s="1">
        <v>2018</v>
      </c>
      <c r="O1020" t="str" cm="1">
        <f t="array" ref="O1020">_xlfn.IFS(OR($K1020="Ghana", $K1020="Nigeria"), "Anglophone", OR($K1020="Togo", $K1020="Benin", $K1020="Senegal"), "Francophone")</f>
        <v>Francophone</v>
      </c>
      <c r="P1020" s="1" t="str">
        <f>LEFT(Int_breweries[[#This Row],[MONTHS]], 3)</f>
        <v>Nov</v>
      </c>
    </row>
    <row r="1021" spans="1:16" ht="12.5" x14ac:dyDescent="0.25">
      <c r="A1021" s="1">
        <v>11120</v>
      </c>
      <c r="B1021" s="1" t="s">
        <v>26</v>
      </c>
      <c r="C1021" s="1" t="s">
        <v>27</v>
      </c>
      <c r="D1021" t="s">
        <v>67</v>
      </c>
      <c r="E1021" s="1">
        <v>150</v>
      </c>
      <c r="F1021" s="1">
        <v>200</v>
      </c>
      <c r="G1021" s="1">
        <v>763</v>
      </c>
      <c r="H1021" s="1">
        <f>Int_breweries[[#This Row],[PLANT_COST]]*Int_breweries[[#This Row],[QUANTITY]]</f>
        <v>114450</v>
      </c>
      <c r="I1021" s="1">
        <v>152600</v>
      </c>
      <c r="J1021" s="1">
        <v>38150</v>
      </c>
      <c r="K1021" s="1" t="s">
        <v>32</v>
      </c>
      <c r="L1021" t="s">
        <v>60</v>
      </c>
      <c r="M1021" s="1" t="s">
        <v>48</v>
      </c>
      <c r="N1021" s="1">
        <v>2018</v>
      </c>
      <c r="O1021" t="str" cm="1">
        <f t="array" ref="O1021">_xlfn.IFS(OR($K1021="Ghana", $K1021="Nigeria"), "Anglophone", OR($K1021="Togo", $K1021="Benin", $K1021="Senegal"), "Francophone")</f>
        <v>Francophone</v>
      </c>
      <c r="P1021" s="1" t="str">
        <f>LEFT(Int_breweries[[#This Row],[MONTHS]], 3)</f>
        <v>Dec</v>
      </c>
    </row>
    <row r="1022" spans="1:16" ht="12.5" x14ac:dyDescent="0.25">
      <c r="A1022" s="1">
        <v>11121</v>
      </c>
      <c r="B1022" s="1" t="s">
        <v>45</v>
      </c>
      <c r="C1022" s="1" t="s">
        <v>46</v>
      </c>
      <c r="D1022" t="s">
        <v>68</v>
      </c>
      <c r="E1022" s="1">
        <v>80</v>
      </c>
      <c r="F1022" s="1">
        <v>150</v>
      </c>
      <c r="G1022" s="1">
        <v>842</v>
      </c>
      <c r="H1022" s="1">
        <f>Int_breweries[[#This Row],[PLANT_COST]]*Int_breweries[[#This Row],[QUANTITY]]</f>
        <v>67360</v>
      </c>
      <c r="I1022" s="1">
        <v>126300</v>
      </c>
      <c r="J1022" s="1">
        <v>58940</v>
      </c>
      <c r="K1022" s="1" t="s">
        <v>14</v>
      </c>
      <c r="L1022" t="s">
        <v>61</v>
      </c>
      <c r="M1022" s="1" t="s">
        <v>16</v>
      </c>
      <c r="N1022" s="1">
        <v>2017</v>
      </c>
      <c r="O1022" t="str" cm="1">
        <f t="array" ref="O1022">_xlfn.IFS(OR($K1022="Ghana", $K1022="Nigeria"), "Anglophone", OR($K1022="Togo", $K1022="Benin", $K1022="Senegal"), "Francophone")</f>
        <v>Anglophone</v>
      </c>
      <c r="P1022" s="1" t="str">
        <f>LEFT(Int_breweries[[#This Row],[MONTHS]], 3)</f>
        <v>Jan</v>
      </c>
    </row>
    <row r="1023" spans="1:16" ht="12.5" x14ac:dyDescent="0.25">
      <c r="A1023" s="1">
        <v>11122</v>
      </c>
      <c r="B1023" s="1" t="s">
        <v>51</v>
      </c>
      <c r="C1023" s="1" t="s">
        <v>52</v>
      </c>
      <c r="D1023" t="s">
        <v>69</v>
      </c>
      <c r="E1023" s="1">
        <v>90</v>
      </c>
      <c r="F1023" s="1">
        <v>150</v>
      </c>
      <c r="G1023" s="1">
        <v>848</v>
      </c>
      <c r="H1023" s="1">
        <f>Int_breweries[[#This Row],[PLANT_COST]]*Int_breweries[[#This Row],[QUANTITY]]</f>
        <v>76320</v>
      </c>
      <c r="I1023" s="1">
        <v>127200</v>
      </c>
      <c r="J1023" s="1">
        <v>50880</v>
      </c>
      <c r="K1023" s="1" t="s">
        <v>19</v>
      </c>
      <c r="L1023" t="s">
        <v>62</v>
      </c>
      <c r="M1023" s="1" t="s">
        <v>21</v>
      </c>
      <c r="N1023" s="1">
        <v>2018</v>
      </c>
      <c r="O1023" t="str" cm="1">
        <f t="array" ref="O1023">_xlfn.IFS(OR($K1023="Ghana", $K1023="Nigeria"), "Anglophone", OR($K1023="Togo", $K1023="Benin", $K1023="Senegal"), "Francophone")</f>
        <v>Anglophone</v>
      </c>
      <c r="P1023" s="1" t="str">
        <f>LEFT(Int_breweries[[#This Row],[MONTHS]], 3)</f>
        <v>Feb</v>
      </c>
    </row>
    <row r="1024" spans="1:16" ht="12.5" x14ac:dyDescent="0.25">
      <c r="A1024" s="1">
        <v>11123</v>
      </c>
      <c r="B1024" s="1" t="s">
        <v>49</v>
      </c>
      <c r="C1024" s="1" t="s">
        <v>50</v>
      </c>
      <c r="D1024" t="s">
        <v>63</v>
      </c>
      <c r="E1024" s="1">
        <v>150</v>
      </c>
      <c r="F1024" s="1">
        <v>200</v>
      </c>
      <c r="G1024" s="1">
        <v>988</v>
      </c>
      <c r="H1024" s="1">
        <f>Int_breweries[[#This Row],[PLANT_COST]]*Int_breweries[[#This Row],[QUANTITY]]</f>
        <v>148200</v>
      </c>
      <c r="I1024" s="1">
        <v>197600</v>
      </c>
      <c r="J1024" s="1">
        <v>49400</v>
      </c>
      <c r="K1024" s="1" t="s">
        <v>24</v>
      </c>
      <c r="L1024" t="s">
        <v>15</v>
      </c>
      <c r="M1024" s="1" t="s">
        <v>25</v>
      </c>
      <c r="N1024" s="1">
        <v>2018</v>
      </c>
      <c r="O1024" t="str" cm="1">
        <f t="array" ref="O1024">_xlfn.IFS(OR($K1024="Ghana", $K1024="Nigeria"), "Anglophone", OR($K1024="Togo", $K1024="Benin", $K1024="Senegal"), "Francophone")</f>
        <v>Francophone</v>
      </c>
      <c r="P1024" s="1" t="str">
        <f>LEFT(Int_breweries[[#This Row],[MONTHS]], 3)</f>
        <v>Mar</v>
      </c>
    </row>
    <row r="1025" spans="1:16" ht="12.5" x14ac:dyDescent="0.25">
      <c r="A1025" s="1">
        <v>11124</v>
      </c>
      <c r="B1025" s="1" t="s">
        <v>45</v>
      </c>
      <c r="C1025" s="1" t="s">
        <v>46</v>
      </c>
      <c r="D1025" t="s">
        <v>64</v>
      </c>
      <c r="E1025" s="1">
        <v>250</v>
      </c>
      <c r="F1025" s="1">
        <v>500</v>
      </c>
      <c r="G1025" s="1">
        <v>876</v>
      </c>
      <c r="H1025" s="1">
        <f>Int_breweries[[#This Row],[PLANT_COST]]*Int_breweries[[#This Row],[QUANTITY]]</f>
        <v>219000</v>
      </c>
      <c r="I1025" s="1">
        <v>438000</v>
      </c>
      <c r="J1025" s="1">
        <v>219000</v>
      </c>
      <c r="K1025" s="1" t="s">
        <v>28</v>
      </c>
      <c r="L1025" t="s">
        <v>58</v>
      </c>
      <c r="M1025" s="1" t="s">
        <v>29</v>
      </c>
      <c r="N1025" s="1">
        <v>2018</v>
      </c>
      <c r="O1025" t="str" cm="1">
        <f t="array" ref="O1025">_xlfn.IFS(OR($K1025="Ghana", $K1025="Nigeria"), "Anglophone", OR($K1025="Togo", $K1025="Benin", $K1025="Senegal"), "Francophone")</f>
        <v>Francophone</v>
      </c>
      <c r="P1025" s="1" t="str">
        <f>LEFT(Int_breweries[[#This Row],[MONTHS]], 3)</f>
        <v>Apr</v>
      </c>
    </row>
    <row r="1026" spans="1:16" ht="12.5" x14ac:dyDescent="0.25">
      <c r="A1026" s="1">
        <v>11125</v>
      </c>
      <c r="B1026" s="1" t="s">
        <v>17</v>
      </c>
      <c r="C1026" s="1" t="s">
        <v>18</v>
      </c>
      <c r="D1026" t="s">
        <v>65</v>
      </c>
      <c r="E1026" s="1">
        <v>180</v>
      </c>
      <c r="F1026" s="1">
        <v>450</v>
      </c>
      <c r="G1026" s="1">
        <v>900</v>
      </c>
      <c r="H1026" s="1">
        <f>Int_breweries[[#This Row],[PLANT_COST]]*Int_breweries[[#This Row],[QUANTITY]]</f>
        <v>162000</v>
      </c>
      <c r="I1026" s="1">
        <v>405000</v>
      </c>
      <c r="J1026" s="1">
        <v>243000</v>
      </c>
      <c r="K1026" s="1" t="s">
        <v>32</v>
      </c>
      <c r="L1026" t="s">
        <v>59</v>
      </c>
      <c r="M1026" s="1" t="s">
        <v>33</v>
      </c>
      <c r="N1026" s="1">
        <v>2019</v>
      </c>
      <c r="O1026" t="str" cm="1">
        <f t="array" ref="O1026">_xlfn.IFS(OR($K1026="Ghana", $K1026="Nigeria"), "Anglophone", OR($K1026="Togo", $K1026="Benin", $K1026="Senegal"), "Francophone")</f>
        <v>Francophone</v>
      </c>
      <c r="P1026" s="1" t="str">
        <f>LEFT(Int_breweries[[#This Row],[MONTHS]], 3)</f>
        <v>May</v>
      </c>
    </row>
    <row r="1027" spans="1:16" ht="12.5" x14ac:dyDescent="0.25">
      <c r="A1027" s="1">
        <v>11126</v>
      </c>
      <c r="B1027" s="1" t="s">
        <v>49</v>
      </c>
      <c r="C1027" s="1" t="s">
        <v>50</v>
      </c>
      <c r="D1027" t="s">
        <v>66</v>
      </c>
      <c r="E1027" s="1">
        <v>170</v>
      </c>
      <c r="F1027" s="1">
        <v>250</v>
      </c>
      <c r="G1027" s="1">
        <v>938</v>
      </c>
      <c r="H1027" s="1">
        <f>Int_breweries[[#This Row],[PLANT_COST]]*Int_breweries[[#This Row],[QUANTITY]]</f>
        <v>159460</v>
      </c>
      <c r="I1027" s="1">
        <v>234500</v>
      </c>
      <c r="J1027" s="1">
        <v>75040</v>
      </c>
      <c r="K1027" s="1" t="s">
        <v>14</v>
      </c>
      <c r="L1027" t="s">
        <v>60</v>
      </c>
      <c r="M1027" s="1" t="s">
        <v>34</v>
      </c>
      <c r="N1027" s="1">
        <v>2019</v>
      </c>
      <c r="O1027" t="str" cm="1">
        <f t="array" ref="O1027">_xlfn.IFS(OR($K1027="Ghana", $K1027="Nigeria"), "Anglophone", OR($K1027="Togo", $K1027="Benin", $K1027="Senegal"), "Francophone")</f>
        <v>Anglophone</v>
      </c>
      <c r="P1027" s="1" t="str">
        <f>LEFT(Int_breweries[[#This Row],[MONTHS]], 3)</f>
        <v>Jun</v>
      </c>
    </row>
    <row r="1028" spans="1:16" ht="12.5" x14ac:dyDescent="0.25">
      <c r="A1028" s="1">
        <v>11127</v>
      </c>
      <c r="B1028" s="1" t="s">
        <v>26</v>
      </c>
      <c r="C1028" s="1" t="s">
        <v>27</v>
      </c>
      <c r="D1028" t="s">
        <v>67</v>
      </c>
      <c r="E1028" s="1">
        <v>150</v>
      </c>
      <c r="F1028" s="1">
        <v>200</v>
      </c>
      <c r="G1028" s="1">
        <v>731</v>
      </c>
      <c r="H1028" s="1">
        <f>Int_breweries[[#This Row],[PLANT_COST]]*Int_breweries[[#This Row],[QUANTITY]]</f>
        <v>109650</v>
      </c>
      <c r="I1028" s="1">
        <v>146200</v>
      </c>
      <c r="J1028" s="1">
        <v>36550</v>
      </c>
      <c r="K1028" s="1" t="s">
        <v>19</v>
      </c>
      <c r="L1028" t="s">
        <v>61</v>
      </c>
      <c r="M1028" s="1" t="s">
        <v>37</v>
      </c>
      <c r="N1028" s="1">
        <v>2018</v>
      </c>
      <c r="O1028" t="str" cm="1">
        <f t="array" ref="O1028">_xlfn.IFS(OR($K1028="Ghana", $K1028="Nigeria"), "Anglophone", OR($K1028="Togo", $K1028="Benin", $K1028="Senegal"), "Francophone")</f>
        <v>Anglophone</v>
      </c>
      <c r="P1028" s="1" t="str">
        <f>LEFT(Int_breweries[[#This Row],[MONTHS]], 3)</f>
        <v>Jul</v>
      </c>
    </row>
    <row r="1029" spans="1:16" ht="12.5" x14ac:dyDescent="0.25">
      <c r="A1029" s="1">
        <v>11128</v>
      </c>
      <c r="B1029" s="1" t="s">
        <v>22</v>
      </c>
      <c r="C1029" s="1" t="s">
        <v>23</v>
      </c>
      <c r="D1029" t="s">
        <v>68</v>
      </c>
      <c r="E1029" s="1">
        <v>80</v>
      </c>
      <c r="F1029" s="1">
        <v>150</v>
      </c>
      <c r="G1029" s="1">
        <v>779</v>
      </c>
      <c r="H1029" s="1">
        <f>Int_breweries[[#This Row],[PLANT_COST]]*Int_breweries[[#This Row],[QUANTITY]]</f>
        <v>62320</v>
      </c>
      <c r="I1029" s="1">
        <v>116850</v>
      </c>
      <c r="J1029" s="1">
        <v>54530</v>
      </c>
      <c r="K1029" s="1" t="s">
        <v>24</v>
      </c>
      <c r="L1029" t="s">
        <v>62</v>
      </c>
      <c r="M1029" s="1" t="s">
        <v>38</v>
      </c>
      <c r="N1029" s="1">
        <v>2017</v>
      </c>
      <c r="O1029" t="str" cm="1">
        <f t="array" ref="O1029">_xlfn.IFS(OR($K1029="Ghana", $K1029="Nigeria"), "Anglophone", OR($K1029="Togo", $K1029="Benin", $K1029="Senegal"), "Francophone")</f>
        <v>Francophone</v>
      </c>
      <c r="P1029" s="1" t="str">
        <f>LEFT(Int_breweries[[#This Row],[MONTHS]], 3)</f>
        <v>Aug</v>
      </c>
    </row>
    <row r="1030" spans="1:16" ht="12.5" x14ac:dyDescent="0.25">
      <c r="A1030" s="1">
        <v>11129</v>
      </c>
      <c r="B1030" s="1" t="s">
        <v>12</v>
      </c>
      <c r="C1030" s="1" t="s">
        <v>13</v>
      </c>
      <c r="D1030" t="s">
        <v>69</v>
      </c>
      <c r="E1030" s="1">
        <v>90</v>
      </c>
      <c r="F1030" s="1">
        <v>150</v>
      </c>
      <c r="G1030" s="1">
        <v>900</v>
      </c>
      <c r="H1030" s="1">
        <f>Int_breweries[[#This Row],[PLANT_COST]]*Int_breweries[[#This Row],[QUANTITY]]</f>
        <v>81000</v>
      </c>
      <c r="I1030" s="1">
        <v>135000</v>
      </c>
      <c r="J1030" s="1">
        <v>54000</v>
      </c>
      <c r="K1030" s="1" t="s">
        <v>28</v>
      </c>
      <c r="L1030" t="s">
        <v>15</v>
      </c>
      <c r="M1030" s="1" t="s">
        <v>41</v>
      </c>
      <c r="N1030" s="1">
        <v>2019</v>
      </c>
      <c r="O1030" t="str" cm="1">
        <f t="array" ref="O1030">_xlfn.IFS(OR($K1030="Ghana", $K1030="Nigeria"), "Anglophone", OR($K1030="Togo", $K1030="Benin", $K1030="Senegal"), "Francophone")</f>
        <v>Francophone</v>
      </c>
      <c r="P1030" s="1" t="str">
        <f>LEFT(Int_breweries[[#This Row],[MONTHS]], 3)</f>
        <v>Sep</v>
      </c>
    </row>
    <row r="1031" spans="1:16" ht="12.5" x14ac:dyDescent="0.25">
      <c r="A1031" s="1">
        <v>11130</v>
      </c>
      <c r="B1031" s="1" t="s">
        <v>30</v>
      </c>
      <c r="C1031" s="1" t="s">
        <v>31</v>
      </c>
      <c r="D1031" t="s">
        <v>63</v>
      </c>
      <c r="E1031" s="1">
        <v>150</v>
      </c>
      <c r="F1031" s="1">
        <v>200</v>
      </c>
      <c r="G1031" s="1">
        <v>953</v>
      </c>
      <c r="H1031" s="1">
        <f>Int_breweries[[#This Row],[PLANT_COST]]*Int_breweries[[#This Row],[QUANTITY]]</f>
        <v>142950</v>
      </c>
      <c r="I1031" s="1">
        <v>190600</v>
      </c>
      <c r="J1031" s="1">
        <v>47650</v>
      </c>
      <c r="K1031" s="1" t="s">
        <v>32</v>
      </c>
      <c r="L1031" t="s">
        <v>58</v>
      </c>
      <c r="M1031" s="1" t="s">
        <v>44</v>
      </c>
      <c r="N1031" s="1">
        <v>2017</v>
      </c>
      <c r="O1031" t="str" cm="1">
        <f t="array" ref="O1031">_xlfn.IFS(OR($K1031="Ghana", $K1031="Nigeria"), "Anglophone", OR($K1031="Togo", $K1031="Benin", $K1031="Senegal"), "Francophone")</f>
        <v>Francophone</v>
      </c>
      <c r="P1031" s="1" t="str">
        <f>LEFT(Int_breweries[[#This Row],[MONTHS]], 3)</f>
        <v>Oct</v>
      </c>
    </row>
    <row r="1032" spans="1:16" ht="12.5" x14ac:dyDescent="0.25">
      <c r="A1032" s="1">
        <v>11131</v>
      </c>
      <c r="B1032" s="1" t="s">
        <v>42</v>
      </c>
      <c r="C1032" s="1" t="s">
        <v>43</v>
      </c>
      <c r="D1032" t="s">
        <v>64</v>
      </c>
      <c r="E1032" s="1">
        <v>250</v>
      </c>
      <c r="F1032" s="1">
        <v>500</v>
      </c>
      <c r="G1032" s="1">
        <v>700</v>
      </c>
      <c r="H1032" s="1">
        <f>Int_breweries[[#This Row],[PLANT_COST]]*Int_breweries[[#This Row],[QUANTITY]]</f>
        <v>175000</v>
      </c>
      <c r="I1032" s="1">
        <v>350000</v>
      </c>
      <c r="J1032" s="1">
        <v>175000</v>
      </c>
      <c r="K1032" s="1" t="s">
        <v>14</v>
      </c>
      <c r="L1032" t="s">
        <v>59</v>
      </c>
      <c r="M1032" s="1" t="s">
        <v>47</v>
      </c>
      <c r="N1032" s="1">
        <v>2019</v>
      </c>
      <c r="O1032" t="str" cm="1">
        <f t="array" ref="O1032">_xlfn.IFS(OR($K1032="Ghana", $K1032="Nigeria"), "Anglophone", OR($K1032="Togo", $K1032="Benin", $K1032="Senegal"), "Francophone")</f>
        <v>Anglophone</v>
      </c>
      <c r="P1032" s="1" t="str">
        <f>LEFT(Int_breweries[[#This Row],[MONTHS]], 3)</f>
        <v>Nov</v>
      </c>
    </row>
    <row r="1033" spans="1:16" ht="12.5" x14ac:dyDescent="0.25">
      <c r="A1033" s="1">
        <v>11132</v>
      </c>
      <c r="B1033" s="1" t="s">
        <v>17</v>
      </c>
      <c r="C1033" s="1" t="s">
        <v>18</v>
      </c>
      <c r="D1033" t="s">
        <v>65</v>
      </c>
      <c r="E1033" s="1">
        <v>180</v>
      </c>
      <c r="F1033" s="1">
        <v>450</v>
      </c>
      <c r="G1033" s="1">
        <v>721</v>
      </c>
      <c r="H1033" s="1">
        <f>Int_breweries[[#This Row],[PLANT_COST]]*Int_breweries[[#This Row],[QUANTITY]]</f>
        <v>129780</v>
      </c>
      <c r="I1033" s="1">
        <v>324450</v>
      </c>
      <c r="J1033" s="1">
        <v>194670</v>
      </c>
      <c r="K1033" s="1" t="s">
        <v>19</v>
      </c>
      <c r="L1033" t="s">
        <v>60</v>
      </c>
      <c r="M1033" s="1" t="s">
        <v>48</v>
      </c>
      <c r="N1033" s="1">
        <v>2018</v>
      </c>
      <c r="O1033" t="str" cm="1">
        <f t="array" ref="O1033">_xlfn.IFS(OR($K1033="Ghana", $K1033="Nigeria"), "Anglophone", OR($K1033="Togo", $K1033="Benin", $K1033="Senegal"), "Francophone")</f>
        <v>Anglophone</v>
      </c>
      <c r="P1033" s="1" t="str">
        <f>LEFT(Int_breweries[[#This Row],[MONTHS]], 3)</f>
        <v>Dec</v>
      </c>
    </row>
    <row r="1034" spans="1:16" ht="12.5" x14ac:dyDescent="0.25">
      <c r="A1034" s="1">
        <v>11133</v>
      </c>
      <c r="B1034" s="1" t="s">
        <v>17</v>
      </c>
      <c r="C1034" s="1" t="s">
        <v>18</v>
      </c>
      <c r="D1034" t="s">
        <v>66</v>
      </c>
      <c r="E1034" s="1">
        <v>170</v>
      </c>
      <c r="F1034" s="1">
        <v>250</v>
      </c>
      <c r="G1034" s="1">
        <v>972</v>
      </c>
      <c r="H1034" s="1">
        <f>Int_breweries[[#This Row],[PLANT_COST]]*Int_breweries[[#This Row],[QUANTITY]]</f>
        <v>165240</v>
      </c>
      <c r="I1034" s="1">
        <v>243000</v>
      </c>
      <c r="J1034" s="1">
        <v>77760</v>
      </c>
      <c r="K1034" s="1" t="s">
        <v>24</v>
      </c>
      <c r="L1034" t="s">
        <v>61</v>
      </c>
      <c r="M1034" s="1" t="s">
        <v>16</v>
      </c>
      <c r="N1034" s="1">
        <v>2019</v>
      </c>
      <c r="O1034" t="str" cm="1">
        <f t="array" ref="O1034">_xlfn.IFS(OR($K1034="Ghana", $K1034="Nigeria"), "Anglophone", OR($K1034="Togo", $K1034="Benin", $K1034="Senegal"), "Francophone")</f>
        <v>Francophone</v>
      </c>
      <c r="P1034" s="1" t="str">
        <f>LEFT(Int_breweries[[#This Row],[MONTHS]], 3)</f>
        <v>Jan</v>
      </c>
    </row>
    <row r="1035" spans="1:16" ht="12.5" x14ac:dyDescent="0.25">
      <c r="A1035" s="1">
        <v>11134</v>
      </c>
      <c r="B1035" s="1" t="s">
        <v>51</v>
      </c>
      <c r="C1035" s="1" t="s">
        <v>52</v>
      </c>
      <c r="D1035" t="s">
        <v>67</v>
      </c>
      <c r="E1035" s="1">
        <v>150</v>
      </c>
      <c r="F1035" s="1">
        <v>200</v>
      </c>
      <c r="G1035" s="1">
        <v>860</v>
      </c>
      <c r="H1035" s="1">
        <f>Int_breweries[[#This Row],[PLANT_COST]]*Int_breweries[[#This Row],[QUANTITY]]</f>
        <v>129000</v>
      </c>
      <c r="I1035" s="1">
        <v>172000</v>
      </c>
      <c r="J1035" s="1">
        <v>43000</v>
      </c>
      <c r="K1035" s="1" t="s">
        <v>28</v>
      </c>
      <c r="L1035" t="s">
        <v>62</v>
      </c>
      <c r="M1035" s="1" t="s">
        <v>21</v>
      </c>
      <c r="N1035" s="1">
        <v>2018</v>
      </c>
      <c r="O1035" t="str" cm="1">
        <f t="array" ref="O1035">_xlfn.IFS(OR($K1035="Ghana", $K1035="Nigeria"), "Anglophone", OR($K1035="Togo", $K1035="Benin", $K1035="Senegal"), "Francophone")</f>
        <v>Francophone</v>
      </c>
      <c r="P1035" s="1" t="str">
        <f>LEFT(Int_breweries[[#This Row],[MONTHS]], 3)</f>
        <v>Feb</v>
      </c>
    </row>
    <row r="1036" spans="1:16" ht="12.5" x14ac:dyDescent="0.25">
      <c r="A1036" s="1">
        <v>11135</v>
      </c>
      <c r="B1036" s="1" t="s">
        <v>26</v>
      </c>
      <c r="C1036" s="1" t="s">
        <v>27</v>
      </c>
      <c r="D1036" t="s">
        <v>68</v>
      </c>
      <c r="E1036" s="1">
        <v>80</v>
      </c>
      <c r="F1036" s="1">
        <v>150</v>
      </c>
      <c r="G1036" s="1">
        <v>811</v>
      </c>
      <c r="H1036" s="1">
        <f>Int_breweries[[#This Row],[PLANT_COST]]*Int_breweries[[#This Row],[QUANTITY]]</f>
        <v>64880</v>
      </c>
      <c r="I1036" s="1">
        <v>121650</v>
      </c>
      <c r="J1036" s="1">
        <v>56770</v>
      </c>
      <c r="K1036" s="1" t="s">
        <v>32</v>
      </c>
      <c r="L1036" t="s">
        <v>15</v>
      </c>
      <c r="M1036" s="1" t="s">
        <v>25</v>
      </c>
      <c r="N1036" s="1">
        <v>2019</v>
      </c>
      <c r="O1036" t="str" cm="1">
        <f t="array" ref="O1036">_xlfn.IFS(OR($K1036="Ghana", $K1036="Nigeria"), "Anglophone", OR($K1036="Togo", $K1036="Benin", $K1036="Senegal"), "Francophone")</f>
        <v>Francophone</v>
      </c>
      <c r="P1036" s="1" t="str">
        <f>LEFT(Int_breweries[[#This Row],[MONTHS]], 3)</f>
        <v>Mar</v>
      </c>
    </row>
    <row r="1037" spans="1:16" ht="12.5" x14ac:dyDescent="0.25">
      <c r="A1037" s="1">
        <v>11136</v>
      </c>
      <c r="B1037" s="1" t="s">
        <v>39</v>
      </c>
      <c r="C1037" s="1" t="s">
        <v>40</v>
      </c>
      <c r="D1037" t="s">
        <v>69</v>
      </c>
      <c r="E1037" s="1">
        <v>90</v>
      </c>
      <c r="F1037" s="1">
        <v>150</v>
      </c>
      <c r="G1037" s="1">
        <v>963</v>
      </c>
      <c r="H1037" s="1">
        <f>Int_breweries[[#This Row],[PLANT_COST]]*Int_breweries[[#This Row],[QUANTITY]]</f>
        <v>86670</v>
      </c>
      <c r="I1037" s="1">
        <v>144450</v>
      </c>
      <c r="J1037" s="1">
        <v>57780</v>
      </c>
      <c r="K1037" s="1" t="s">
        <v>14</v>
      </c>
      <c r="L1037" t="s">
        <v>58</v>
      </c>
      <c r="M1037" s="1" t="s">
        <v>29</v>
      </c>
      <c r="N1037" s="1">
        <v>2019</v>
      </c>
      <c r="O1037" t="str" cm="1">
        <f t="array" ref="O1037">_xlfn.IFS(OR($K1037="Ghana", $K1037="Nigeria"), "Anglophone", OR($K1037="Togo", $K1037="Benin", $K1037="Senegal"), "Francophone")</f>
        <v>Anglophone</v>
      </c>
      <c r="P1037" s="1" t="str">
        <f>LEFT(Int_breweries[[#This Row],[MONTHS]], 3)</f>
        <v>Apr</v>
      </c>
    </row>
    <row r="1038" spans="1:16" ht="12.5" x14ac:dyDescent="0.25">
      <c r="A1038" s="1">
        <v>11137</v>
      </c>
      <c r="B1038" s="1" t="s">
        <v>51</v>
      </c>
      <c r="C1038" s="1" t="s">
        <v>52</v>
      </c>
      <c r="D1038" t="s">
        <v>63</v>
      </c>
      <c r="E1038" s="1">
        <v>150</v>
      </c>
      <c r="F1038" s="1">
        <v>200</v>
      </c>
      <c r="G1038" s="1">
        <v>974</v>
      </c>
      <c r="H1038" s="1">
        <f>Int_breweries[[#This Row],[PLANT_COST]]*Int_breweries[[#This Row],[QUANTITY]]</f>
        <v>146100</v>
      </c>
      <c r="I1038" s="1">
        <v>194800</v>
      </c>
      <c r="J1038" s="1">
        <v>48700</v>
      </c>
      <c r="K1038" s="1" t="s">
        <v>19</v>
      </c>
      <c r="L1038" t="s">
        <v>59</v>
      </c>
      <c r="M1038" s="1" t="s">
        <v>33</v>
      </c>
      <c r="N1038" s="1">
        <v>2017</v>
      </c>
      <c r="O1038" t="str" cm="1">
        <f t="array" ref="O1038">_xlfn.IFS(OR($K1038="Ghana", $K1038="Nigeria"), "Anglophone", OR($K1038="Togo", $K1038="Benin", $K1038="Senegal"), "Francophone")</f>
        <v>Anglophone</v>
      </c>
      <c r="P1038" s="1" t="str">
        <f>LEFT(Int_breweries[[#This Row],[MONTHS]], 3)</f>
        <v>May</v>
      </c>
    </row>
    <row r="1039" spans="1:16" ht="12.5" x14ac:dyDescent="0.25">
      <c r="A1039" s="1">
        <v>11138</v>
      </c>
      <c r="B1039" s="1" t="s">
        <v>22</v>
      </c>
      <c r="C1039" s="1" t="s">
        <v>23</v>
      </c>
      <c r="D1039" t="s">
        <v>64</v>
      </c>
      <c r="E1039" s="1">
        <v>250</v>
      </c>
      <c r="F1039" s="1">
        <v>500</v>
      </c>
      <c r="G1039" s="1">
        <v>839</v>
      </c>
      <c r="H1039" s="1">
        <f>Int_breweries[[#This Row],[PLANT_COST]]*Int_breweries[[#This Row],[QUANTITY]]</f>
        <v>209750</v>
      </c>
      <c r="I1039" s="1">
        <v>419500</v>
      </c>
      <c r="J1039" s="1">
        <v>209750</v>
      </c>
      <c r="K1039" s="1" t="s">
        <v>24</v>
      </c>
      <c r="L1039" t="s">
        <v>60</v>
      </c>
      <c r="M1039" s="1" t="s">
        <v>34</v>
      </c>
      <c r="N1039" s="1">
        <v>2019</v>
      </c>
      <c r="O1039" t="str" cm="1">
        <f t="array" ref="O1039">_xlfn.IFS(OR($K1039="Ghana", $K1039="Nigeria"), "Anglophone", OR($K1039="Togo", $K1039="Benin", $K1039="Senegal"), "Francophone")</f>
        <v>Francophone</v>
      </c>
      <c r="P1039" s="1" t="str">
        <f>LEFT(Int_breweries[[#This Row],[MONTHS]], 3)</f>
        <v>Jun</v>
      </c>
    </row>
    <row r="1040" spans="1:16" ht="12.5" x14ac:dyDescent="0.25">
      <c r="A1040" s="1">
        <v>11139</v>
      </c>
      <c r="B1040" s="1" t="s">
        <v>17</v>
      </c>
      <c r="C1040" s="1" t="s">
        <v>18</v>
      </c>
      <c r="D1040" t="s">
        <v>65</v>
      </c>
      <c r="E1040" s="1">
        <v>180</v>
      </c>
      <c r="F1040" s="1">
        <v>450</v>
      </c>
      <c r="G1040" s="1">
        <v>907</v>
      </c>
      <c r="H1040" s="1">
        <f>Int_breweries[[#This Row],[PLANT_COST]]*Int_breweries[[#This Row],[QUANTITY]]</f>
        <v>163260</v>
      </c>
      <c r="I1040" s="1">
        <v>408150</v>
      </c>
      <c r="J1040" s="1">
        <v>244890</v>
      </c>
      <c r="K1040" s="1" t="s">
        <v>28</v>
      </c>
      <c r="L1040" t="s">
        <v>61</v>
      </c>
      <c r="M1040" s="1" t="s">
        <v>37</v>
      </c>
      <c r="N1040" s="1">
        <v>2017</v>
      </c>
      <c r="O1040" t="str" cm="1">
        <f t="array" ref="O1040">_xlfn.IFS(OR($K1040="Ghana", $K1040="Nigeria"), "Anglophone", OR($K1040="Togo", $K1040="Benin", $K1040="Senegal"), "Francophone")</f>
        <v>Francophone</v>
      </c>
      <c r="P1040" s="1" t="str">
        <f>LEFT(Int_breweries[[#This Row],[MONTHS]], 3)</f>
        <v>Jul</v>
      </c>
    </row>
    <row r="1041" spans="1:16" ht="12.5" x14ac:dyDescent="0.25">
      <c r="A1041" s="1">
        <v>11140</v>
      </c>
      <c r="B1041" s="1" t="s">
        <v>22</v>
      </c>
      <c r="C1041" s="1" t="s">
        <v>23</v>
      </c>
      <c r="D1041" t="s">
        <v>66</v>
      </c>
      <c r="E1041" s="1">
        <v>170</v>
      </c>
      <c r="F1041" s="1">
        <v>250</v>
      </c>
      <c r="G1041" s="1">
        <v>949</v>
      </c>
      <c r="H1041" s="1">
        <f>Int_breweries[[#This Row],[PLANT_COST]]*Int_breweries[[#This Row],[QUANTITY]]</f>
        <v>161330</v>
      </c>
      <c r="I1041" s="1">
        <v>237250</v>
      </c>
      <c r="J1041" s="1">
        <v>75920</v>
      </c>
      <c r="K1041" s="1" t="s">
        <v>32</v>
      </c>
      <c r="L1041" t="s">
        <v>62</v>
      </c>
      <c r="M1041" s="1" t="s">
        <v>38</v>
      </c>
      <c r="N1041" s="1">
        <v>2017</v>
      </c>
      <c r="O1041" t="str" cm="1">
        <f t="array" ref="O1041">_xlfn.IFS(OR($K1041="Ghana", $K1041="Nigeria"), "Anglophone", OR($K1041="Togo", $K1041="Benin", $K1041="Senegal"), "Francophone")</f>
        <v>Francophone</v>
      </c>
      <c r="P1041" s="1" t="str">
        <f>LEFT(Int_breweries[[#This Row],[MONTHS]], 3)</f>
        <v>Aug</v>
      </c>
    </row>
    <row r="1042" spans="1:16" ht="12.5" x14ac:dyDescent="0.25">
      <c r="A1042" s="1">
        <v>11141</v>
      </c>
      <c r="B1042" s="1" t="s">
        <v>35</v>
      </c>
      <c r="C1042" s="1" t="s">
        <v>36</v>
      </c>
      <c r="D1042" t="s">
        <v>67</v>
      </c>
      <c r="E1042" s="1">
        <v>150</v>
      </c>
      <c r="F1042" s="1">
        <v>200</v>
      </c>
      <c r="G1042" s="1">
        <v>903</v>
      </c>
      <c r="H1042" s="1">
        <f>Int_breweries[[#This Row],[PLANT_COST]]*Int_breweries[[#This Row],[QUANTITY]]</f>
        <v>135450</v>
      </c>
      <c r="I1042" s="1">
        <v>180600</v>
      </c>
      <c r="J1042" s="1">
        <v>45150</v>
      </c>
      <c r="K1042" s="1" t="s">
        <v>14</v>
      </c>
      <c r="L1042" t="s">
        <v>15</v>
      </c>
      <c r="M1042" s="1" t="s">
        <v>41</v>
      </c>
      <c r="N1042" s="1">
        <v>2019</v>
      </c>
      <c r="O1042" t="str" cm="1">
        <f t="array" ref="O1042">_xlfn.IFS(OR($K1042="Ghana", $K1042="Nigeria"), "Anglophone", OR($K1042="Togo", $K1042="Benin", $K1042="Senegal"), "Francophone")</f>
        <v>Anglophone</v>
      </c>
      <c r="P1042" s="1" t="str">
        <f>LEFT(Int_breweries[[#This Row],[MONTHS]], 3)</f>
        <v>Sep</v>
      </c>
    </row>
    <row r="1043" spans="1:16" ht="12.5" x14ac:dyDescent="0.25">
      <c r="A1043" s="1">
        <v>11142</v>
      </c>
      <c r="B1043" s="1" t="s">
        <v>30</v>
      </c>
      <c r="C1043" s="1" t="s">
        <v>31</v>
      </c>
      <c r="D1043" t="s">
        <v>68</v>
      </c>
      <c r="E1043" s="1">
        <v>80</v>
      </c>
      <c r="F1043" s="1">
        <v>150</v>
      </c>
      <c r="G1043" s="1">
        <v>740</v>
      </c>
      <c r="H1043" s="1">
        <f>Int_breweries[[#This Row],[PLANT_COST]]*Int_breweries[[#This Row],[QUANTITY]]</f>
        <v>59200</v>
      </c>
      <c r="I1043" s="1">
        <v>111000</v>
      </c>
      <c r="J1043" s="1">
        <v>51800</v>
      </c>
      <c r="K1043" s="1" t="s">
        <v>19</v>
      </c>
      <c r="L1043" t="s">
        <v>58</v>
      </c>
      <c r="M1043" s="1" t="s">
        <v>44</v>
      </c>
      <c r="N1043" s="1">
        <v>2018</v>
      </c>
      <c r="O1043" t="str" cm="1">
        <f t="array" ref="O1043">_xlfn.IFS(OR($K1043="Ghana", $K1043="Nigeria"), "Anglophone", OR($K1043="Togo", $K1043="Benin", $K1043="Senegal"), "Francophone")</f>
        <v>Anglophone</v>
      </c>
      <c r="P1043" s="1" t="str">
        <f>LEFT(Int_breweries[[#This Row],[MONTHS]], 3)</f>
        <v>Oct</v>
      </c>
    </row>
    <row r="1044" spans="1:16" ht="12.5" x14ac:dyDescent="0.25">
      <c r="A1044" s="1">
        <v>11143</v>
      </c>
      <c r="B1044" s="1" t="s">
        <v>12</v>
      </c>
      <c r="C1044" s="1" t="s">
        <v>13</v>
      </c>
      <c r="D1044" t="s">
        <v>69</v>
      </c>
      <c r="E1044" s="1">
        <v>90</v>
      </c>
      <c r="F1044" s="1">
        <v>150</v>
      </c>
      <c r="G1044" s="1">
        <v>962</v>
      </c>
      <c r="H1044" s="1">
        <f>Int_breweries[[#This Row],[PLANT_COST]]*Int_breweries[[#This Row],[QUANTITY]]</f>
        <v>86580</v>
      </c>
      <c r="I1044" s="1">
        <v>144300</v>
      </c>
      <c r="J1044" s="1">
        <v>57720</v>
      </c>
      <c r="K1044" s="1" t="s">
        <v>24</v>
      </c>
      <c r="L1044" t="s">
        <v>59</v>
      </c>
      <c r="M1044" s="1" t="s">
        <v>47</v>
      </c>
      <c r="N1044" s="1">
        <v>2017</v>
      </c>
      <c r="O1044" t="str" cm="1">
        <f t="array" ref="O1044">_xlfn.IFS(OR($K1044="Ghana", $K1044="Nigeria"), "Anglophone", OR($K1044="Togo", $K1044="Benin", $K1044="Senegal"), "Francophone")</f>
        <v>Francophone</v>
      </c>
      <c r="P1044" s="1" t="str">
        <f>LEFT(Int_breweries[[#This Row],[MONTHS]], 3)</f>
        <v>Nov</v>
      </c>
    </row>
    <row r="1045" spans="1:16" ht="12.5" x14ac:dyDescent="0.25">
      <c r="A1045" s="1">
        <v>11144</v>
      </c>
      <c r="B1045" s="1" t="s">
        <v>12</v>
      </c>
      <c r="C1045" s="1" t="s">
        <v>13</v>
      </c>
      <c r="D1045" t="s">
        <v>63</v>
      </c>
      <c r="E1045" s="1">
        <v>150</v>
      </c>
      <c r="F1045" s="1">
        <v>200</v>
      </c>
      <c r="G1045" s="1">
        <v>892</v>
      </c>
      <c r="H1045" s="1">
        <f>Int_breweries[[#This Row],[PLANT_COST]]*Int_breweries[[#This Row],[QUANTITY]]</f>
        <v>133800</v>
      </c>
      <c r="I1045" s="1">
        <v>178400</v>
      </c>
      <c r="J1045" s="1">
        <v>44600</v>
      </c>
      <c r="K1045" s="1" t="s">
        <v>28</v>
      </c>
      <c r="L1045" t="s">
        <v>60</v>
      </c>
      <c r="M1045" s="1" t="s">
        <v>48</v>
      </c>
      <c r="N1045" s="1">
        <v>2017</v>
      </c>
      <c r="O1045" t="str" cm="1">
        <f t="array" ref="O1045">_xlfn.IFS(OR($K1045="Ghana", $K1045="Nigeria"), "Anglophone", OR($K1045="Togo", $K1045="Benin", $K1045="Senegal"), "Francophone")</f>
        <v>Francophone</v>
      </c>
      <c r="P1045" s="1" t="str">
        <f>LEFT(Int_breweries[[#This Row],[MONTHS]], 3)</f>
        <v>Dec</v>
      </c>
    </row>
    <row r="1046" spans="1:16" ht="12.5" x14ac:dyDescent="0.25">
      <c r="A1046" s="1">
        <v>11145</v>
      </c>
      <c r="B1046" s="1" t="s">
        <v>30</v>
      </c>
      <c r="C1046" s="1" t="s">
        <v>31</v>
      </c>
      <c r="D1046" t="s">
        <v>64</v>
      </c>
      <c r="E1046" s="1">
        <v>250</v>
      </c>
      <c r="F1046" s="1">
        <v>500</v>
      </c>
      <c r="G1046" s="1">
        <v>816</v>
      </c>
      <c r="H1046" s="1">
        <f>Int_breweries[[#This Row],[PLANT_COST]]*Int_breweries[[#This Row],[QUANTITY]]</f>
        <v>204000</v>
      </c>
      <c r="I1046" s="1">
        <v>408000</v>
      </c>
      <c r="J1046" s="1">
        <v>204000</v>
      </c>
      <c r="K1046" s="1" t="s">
        <v>32</v>
      </c>
      <c r="L1046" t="s">
        <v>61</v>
      </c>
      <c r="M1046" s="1" t="s">
        <v>16</v>
      </c>
      <c r="N1046" s="1">
        <v>2019</v>
      </c>
      <c r="O1046" t="str" cm="1">
        <f t="array" ref="O1046">_xlfn.IFS(OR($K1046="Ghana", $K1046="Nigeria"), "Anglophone", OR($K1046="Togo", $K1046="Benin", $K1046="Senegal"), "Francophone")</f>
        <v>Francophone</v>
      </c>
      <c r="P1046" s="1" t="str">
        <f>LEFT(Int_breweries[[#This Row],[MONTHS]], 3)</f>
        <v>Jan</v>
      </c>
    </row>
    <row r="1047" spans="1:16" ht="12.5" x14ac:dyDescent="0.25">
      <c r="A1047" s="1">
        <v>11146</v>
      </c>
      <c r="B1047" s="1" t="s">
        <v>26</v>
      </c>
      <c r="C1047" s="1" t="s">
        <v>27</v>
      </c>
      <c r="D1047" t="s">
        <v>65</v>
      </c>
      <c r="E1047" s="1">
        <v>180</v>
      </c>
      <c r="F1047" s="1">
        <v>450</v>
      </c>
      <c r="G1047" s="1">
        <v>939</v>
      </c>
      <c r="H1047" s="1">
        <f>Int_breweries[[#This Row],[PLANT_COST]]*Int_breweries[[#This Row],[QUANTITY]]</f>
        <v>169020</v>
      </c>
      <c r="I1047" s="1">
        <v>422550</v>
      </c>
      <c r="J1047" s="1">
        <v>253530</v>
      </c>
      <c r="K1047" s="1" t="s">
        <v>14</v>
      </c>
      <c r="L1047" t="s">
        <v>62</v>
      </c>
      <c r="M1047" s="1" t="s">
        <v>21</v>
      </c>
      <c r="N1047" s="1">
        <v>2017</v>
      </c>
      <c r="O1047" t="str" cm="1">
        <f t="array" ref="O1047">_xlfn.IFS(OR($K1047="Ghana", $K1047="Nigeria"), "Anglophone", OR($K1047="Togo", $K1047="Benin", $K1047="Senegal"), "Francophone")</f>
        <v>Anglophone</v>
      </c>
      <c r="P1047" s="1" t="str">
        <f>LEFT(Int_breweries[[#This Row],[MONTHS]], 3)</f>
        <v>Feb</v>
      </c>
    </row>
    <row r="1048" spans="1:16" ht="12.5" x14ac:dyDescent="0.25">
      <c r="A1048" s="1">
        <v>11147</v>
      </c>
      <c r="B1048" s="1" t="s">
        <v>39</v>
      </c>
      <c r="C1048" s="1" t="s">
        <v>40</v>
      </c>
      <c r="D1048" t="s">
        <v>66</v>
      </c>
      <c r="E1048" s="1">
        <v>170</v>
      </c>
      <c r="F1048" s="1">
        <v>250</v>
      </c>
      <c r="G1048" s="1">
        <v>935</v>
      </c>
      <c r="H1048" s="1">
        <f>Int_breweries[[#This Row],[PLANT_COST]]*Int_breweries[[#This Row],[QUANTITY]]</f>
        <v>158950</v>
      </c>
      <c r="I1048" s="1">
        <v>233750</v>
      </c>
      <c r="J1048" s="1">
        <v>74800</v>
      </c>
      <c r="K1048" s="1" t="s">
        <v>19</v>
      </c>
      <c r="L1048" t="s">
        <v>15</v>
      </c>
      <c r="M1048" s="1" t="s">
        <v>25</v>
      </c>
      <c r="N1048" s="1">
        <v>2019</v>
      </c>
      <c r="O1048" t="str" cm="1">
        <f t="array" ref="O1048">_xlfn.IFS(OR($K1048="Ghana", $K1048="Nigeria"), "Anglophone", OR($K1048="Togo", $K1048="Benin", $K1048="Senegal"), "Francophone")</f>
        <v>Anglophone</v>
      </c>
      <c r="P1048" s="1" t="str">
        <f>LEFT(Int_breweries[[#This Row],[MONTHS]], 3)</f>
        <v>Mar</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4B32E-DE0C-41A8-9616-615AF41FBE16}">
  <dimension ref="A1:F25"/>
  <sheetViews>
    <sheetView workbookViewId="0">
      <selection activeCell="C10" sqref="C10"/>
    </sheetView>
  </sheetViews>
  <sheetFormatPr defaultRowHeight="12.5" x14ac:dyDescent="0.25"/>
  <cols>
    <col min="1" max="1" width="14.54296875" bestFit="1" customWidth="1"/>
    <col min="2" max="2" width="13.6328125" bestFit="1" customWidth="1"/>
    <col min="3" max="3" width="12.1796875" bestFit="1" customWidth="1"/>
    <col min="4" max="4" width="16.08984375" bestFit="1" customWidth="1"/>
    <col min="5" max="5" width="14.54296875" bestFit="1" customWidth="1"/>
    <col min="6" max="6" width="13.6328125" bestFit="1" customWidth="1"/>
  </cols>
  <sheetData>
    <row r="1" spans="1:6" x14ac:dyDescent="0.25">
      <c r="A1" s="9" t="s">
        <v>94</v>
      </c>
      <c r="B1" s="12" t="s">
        <v>91</v>
      </c>
      <c r="C1" s="12" t="s">
        <v>77</v>
      </c>
      <c r="E1" s="9" t="s">
        <v>93</v>
      </c>
      <c r="F1" t="s">
        <v>92</v>
      </c>
    </row>
    <row r="2" spans="1:6" x14ac:dyDescent="0.25">
      <c r="A2" s="10" t="s">
        <v>19</v>
      </c>
      <c r="B2" s="15">
        <v>153154</v>
      </c>
      <c r="C2" s="11">
        <v>14837960</v>
      </c>
      <c r="E2" s="10" t="s">
        <v>26</v>
      </c>
      <c r="F2" s="21">
        <v>5540600</v>
      </c>
    </row>
    <row r="3" spans="1:6" x14ac:dyDescent="0.25">
      <c r="A3" s="10" t="s">
        <v>72</v>
      </c>
      <c r="B3" s="15">
        <v>153154</v>
      </c>
      <c r="C3" s="15">
        <v>14837960</v>
      </c>
      <c r="E3" s="10" t="s">
        <v>22</v>
      </c>
      <c r="F3" s="21">
        <v>4673100</v>
      </c>
    </row>
    <row r="4" spans="1:6" x14ac:dyDescent="0.25">
      <c r="E4" s="10" t="s">
        <v>12</v>
      </c>
      <c r="F4" s="21">
        <v>4455550</v>
      </c>
    </row>
    <row r="5" spans="1:6" x14ac:dyDescent="0.25">
      <c r="E5" s="10" t="s">
        <v>30</v>
      </c>
      <c r="F5" s="21">
        <v>4189350</v>
      </c>
    </row>
    <row r="6" spans="1:6" x14ac:dyDescent="0.25">
      <c r="E6" s="10" t="s">
        <v>39</v>
      </c>
      <c r="F6" s="21">
        <v>3292350</v>
      </c>
    </row>
    <row r="7" spans="1:6" x14ac:dyDescent="0.25">
      <c r="E7" s="10" t="s">
        <v>17</v>
      </c>
      <c r="F7" s="21">
        <v>3141450</v>
      </c>
    </row>
    <row r="8" spans="1:6" x14ac:dyDescent="0.25">
      <c r="E8" s="10" t="s">
        <v>51</v>
      </c>
      <c r="F8" s="21">
        <v>2623750</v>
      </c>
    </row>
    <row r="9" spans="1:6" ht="13" x14ac:dyDescent="0.3">
      <c r="A9" s="8" t="s">
        <v>98</v>
      </c>
      <c r="C9" s="13" t="str">
        <f>A2</f>
        <v>Nigeria</v>
      </c>
      <c r="E9" s="10" t="s">
        <v>72</v>
      </c>
      <c r="F9" s="24">
        <v>27916150</v>
      </c>
    </row>
    <row r="10" spans="1:6" ht="13" x14ac:dyDescent="0.3">
      <c r="A10" s="8" t="s">
        <v>77</v>
      </c>
      <c r="C10" s="18">
        <f>SUM(C2:C6)</f>
        <v>29675920</v>
      </c>
    </row>
    <row r="11" spans="1:6" ht="13" x14ac:dyDescent="0.3">
      <c r="E11" s="8" t="s">
        <v>102</v>
      </c>
      <c r="F11" s="25">
        <f>Total_Revenue/Quantity_Sold</f>
        <v>182.27503036159683</v>
      </c>
    </row>
    <row r="14" spans="1:6" x14ac:dyDescent="0.25">
      <c r="A14" s="9" t="s">
        <v>93</v>
      </c>
      <c r="B14" t="s">
        <v>92</v>
      </c>
    </row>
    <row r="15" spans="1:6" x14ac:dyDescent="0.25">
      <c r="A15" s="10" t="s">
        <v>26</v>
      </c>
      <c r="B15" s="21">
        <v>5540600</v>
      </c>
      <c r="D15" t="s">
        <v>73</v>
      </c>
    </row>
    <row r="16" spans="1:6" x14ac:dyDescent="0.25">
      <c r="A16" s="10" t="s">
        <v>22</v>
      </c>
      <c r="B16" s="21">
        <v>4673100</v>
      </c>
    </row>
    <row r="17" spans="1:4" x14ac:dyDescent="0.25">
      <c r="A17" s="10" t="s">
        <v>12</v>
      </c>
      <c r="B17" s="21">
        <v>4455550</v>
      </c>
    </row>
    <row r="18" spans="1:4" x14ac:dyDescent="0.25">
      <c r="A18" s="10" t="s">
        <v>30</v>
      </c>
      <c r="B18" s="21">
        <v>4189350</v>
      </c>
    </row>
    <row r="19" spans="1:4" x14ac:dyDescent="0.25">
      <c r="A19" s="10" t="s">
        <v>39</v>
      </c>
      <c r="B19" s="21">
        <v>3292350</v>
      </c>
    </row>
    <row r="20" spans="1:4" x14ac:dyDescent="0.25">
      <c r="A20" s="10" t="s">
        <v>17</v>
      </c>
      <c r="B20" s="21">
        <v>3141450</v>
      </c>
    </row>
    <row r="21" spans="1:4" x14ac:dyDescent="0.25">
      <c r="A21" s="10" t="s">
        <v>51</v>
      </c>
      <c r="B21" s="21">
        <v>2623750</v>
      </c>
      <c r="D21" s="11"/>
    </row>
    <row r="22" spans="1:4" x14ac:dyDescent="0.25">
      <c r="A22" s="10" t="s">
        <v>72</v>
      </c>
      <c r="B22" s="24">
        <v>27916150</v>
      </c>
    </row>
    <row r="25" spans="1:4" x14ac:dyDescent="0.25">
      <c r="C25"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B7622-EBEC-4B7B-8E7E-DB6012C83258}">
  <dimension ref="A1:R48"/>
  <sheetViews>
    <sheetView topLeftCell="A15" workbookViewId="0">
      <selection activeCell="F39" sqref="F39"/>
    </sheetView>
  </sheetViews>
  <sheetFormatPr defaultRowHeight="12.5" x14ac:dyDescent="0.25"/>
  <cols>
    <col min="1" max="1" width="4.36328125" bestFit="1" customWidth="1"/>
    <col min="2" max="3" width="11.1796875" bestFit="1" customWidth="1"/>
    <col min="4" max="4" width="9.6328125" bestFit="1" customWidth="1"/>
    <col min="5" max="5" width="12.1796875" bestFit="1" customWidth="1"/>
    <col min="6" max="6" width="11.1796875" bestFit="1" customWidth="1"/>
    <col min="7" max="7" width="12.1796875" bestFit="1" customWidth="1"/>
    <col min="8" max="9" width="11.1796875" bestFit="1" customWidth="1"/>
    <col min="10" max="10" width="12.1796875" bestFit="1" customWidth="1"/>
    <col min="11" max="11" width="11.1796875" customWidth="1"/>
    <col min="12" max="13" width="11.1796875" bestFit="1" customWidth="1"/>
    <col min="14" max="14" width="12.1796875" bestFit="1" customWidth="1"/>
    <col min="15" max="17" width="11.1796875" bestFit="1" customWidth="1"/>
    <col min="18" max="18" width="12.1796875" bestFit="1" customWidth="1"/>
  </cols>
  <sheetData>
    <row r="1" spans="1:18" ht="13" x14ac:dyDescent="0.3">
      <c r="A1" s="19" t="s">
        <v>75</v>
      </c>
      <c r="B1" s="19"/>
      <c r="C1" s="19"/>
      <c r="D1" s="19"/>
      <c r="N1" s="19" t="s">
        <v>75</v>
      </c>
      <c r="O1" s="20"/>
      <c r="P1" s="20"/>
      <c r="Q1" s="20"/>
      <c r="R1" s="20"/>
    </row>
    <row r="3" spans="1:18" x14ac:dyDescent="0.25">
      <c r="B3" t="s">
        <v>94</v>
      </c>
    </row>
    <row r="4" spans="1:18" x14ac:dyDescent="0.25">
      <c r="A4" s="10" t="s">
        <v>19</v>
      </c>
      <c r="B4" s="11">
        <v>14837960</v>
      </c>
    </row>
    <row r="14" spans="1:18" ht="13" x14ac:dyDescent="0.3">
      <c r="A14" s="19" t="s">
        <v>74</v>
      </c>
      <c r="B14" s="20"/>
      <c r="C14" s="20"/>
      <c r="D14" s="20"/>
      <c r="H14" s="8"/>
      <c r="I14" s="14"/>
    </row>
    <row r="15" spans="1:18" ht="13" x14ac:dyDescent="0.3">
      <c r="A15" s="9" t="s">
        <v>73</v>
      </c>
      <c r="H15" s="8"/>
      <c r="I15" s="14"/>
    </row>
    <row r="16" spans="1:18" ht="13" x14ac:dyDescent="0.3">
      <c r="B16">
        <v>2017</v>
      </c>
      <c r="C16">
        <v>2018</v>
      </c>
      <c r="D16">
        <v>2019</v>
      </c>
      <c r="E16" s="12" t="s">
        <v>72</v>
      </c>
      <c r="H16" s="8"/>
      <c r="I16" s="14"/>
    </row>
    <row r="17" spans="1:17" ht="13" x14ac:dyDescent="0.3">
      <c r="A17" s="10" t="s">
        <v>71</v>
      </c>
      <c r="B17" s="11">
        <v>5566800</v>
      </c>
      <c r="C17" s="11">
        <v>5838340</v>
      </c>
      <c r="D17" s="11">
        <v>3432820</v>
      </c>
      <c r="E17" s="11">
        <v>14837960</v>
      </c>
      <c r="H17" s="8"/>
      <c r="I17" s="14"/>
    </row>
    <row r="18" spans="1:17" ht="13" x14ac:dyDescent="0.3">
      <c r="F18" s="11"/>
      <c r="H18" s="8"/>
      <c r="I18" s="14"/>
    </row>
    <row r="19" spans="1:17" ht="13" x14ac:dyDescent="0.3">
      <c r="H19" s="8"/>
      <c r="I19" s="14"/>
    </row>
    <row r="20" spans="1:17" ht="13" x14ac:dyDescent="0.3">
      <c r="H20" s="8"/>
      <c r="I20" s="14"/>
    </row>
    <row r="21" spans="1:17" ht="13" x14ac:dyDescent="0.3">
      <c r="A21" s="19" t="s">
        <v>96</v>
      </c>
      <c r="B21" s="20"/>
      <c r="C21" s="20"/>
      <c r="D21" s="20"/>
      <c r="F21" s="19" t="s">
        <v>100</v>
      </c>
      <c r="G21" s="19"/>
      <c r="H21" s="19"/>
      <c r="I21" s="19"/>
      <c r="J21" s="19"/>
    </row>
    <row r="22" spans="1:17" x14ac:dyDescent="0.25">
      <c r="A22" s="9" t="s">
        <v>73</v>
      </c>
      <c r="F22" s="9" t="s">
        <v>56</v>
      </c>
      <c r="G22" t="s">
        <v>101</v>
      </c>
    </row>
    <row r="23" spans="1:17" ht="13" x14ac:dyDescent="0.3">
      <c r="B23" s="8">
        <v>2017</v>
      </c>
      <c r="C23" s="8">
        <v>2018</v>
      </c>
      <c r="D23" s="8">
        <v>2019</v>
      </c>
      <c r="F23" s="10" t="s">
        <v>68</v>
      </c>
      <c r="G23" s="11">
        <v>8754410</v>
      </c>
    </row>
    <row r="24" spans="1:17" x14ac:dyDescent="0.25">
      <c r="A24" s="10" t="s">
        <v>88</v>
      </c>
      <c r="B24" s="11">
        <v>249680</v>
      </c>
      <c r="C24" s="11">
        <v>615530</v>
      </c>
      <c r="D24" s="11">
        <v>458880</v>
      </c>
      <c r="F24" s="10" t="s">
        <v>64</v>
      </c>
      <c r="G24" s="11">
        <v>31568500</v>
      </c>
      <c r="Q24" s="2"/>
    </row>
    <row r="25" spans="1:17" x14ac:dyDescent="0.25">
      <c r="A25" s="10" t="s">
        <v>85</v>
      </c>
      <c r="B25" s="11">
        <v>35050</v>
      </c>
      <c r="C25" s="11">
        <v>1175660</v>
      </c>
      <c r="D25" s="11">
        <v>115760</v>
      </c>
      <c r="F25" s="10" t="s">
        <v>65</v>
      </c>
      <c r="G25" s="11">
        <v>34606980</v>
      </c>
    </row>
    <row r="26" spans="1:17" x14ac:dyDescent="0.25">
      <c r="A26" s="10" t="s">
        <v>87</v>
      </c>
      <c r="B26" s="11">
        <v>450430</v>
      </c>
      <c r="C26" s="11">
        <v>502070</v>
      </c>
      <c r="D26" s="11">
        <v>449750</v>
      </c>
      <c r="F26" s="10" t="s">
        <v>66</v>
      </c>
      <c r="G26" s="11">
        <v>10224240</v>
      </c>
    </row>
    <row r="27" spans="1:17" x14ac:dyDescent="0.25">
      <c r="A27" s="10" t="s">
        <v>78</v>
      </c>
      <c r="B27" s="11">
        <v>724450</v>
      </c>
      <c r="C27" s="11">
        <v>150620</v>
      </c>
      <c r="D27" s="11">
        <v>440240</v>
      </c>
      <c r="F27" s="10" t="s">
        <v>69</v>
      </c>
      <c r="G27" s="11">
        <v>7577340</v>
      </c>
    </row>
    <row r="28" spans="1:17" x14ac:dyDescent="0.25">
      <c r="A28" s="10" t="s">
        <v>33</v>
      </c>
      <c r="B28" s="11">
        <v>1030540</v>
      </c>
      <c r="C28" s="11">
        <v>169920</v>
      </c>
      <c r="D28" s="11">
        <v>197620</v>
      </c>
      <c r="F28" s="10" t="s">
        <v>67</v>
      </c>
      <c r="G28" s="11">
        <v>6453000</v>
      </c>
    </row>
    <row r="29" spans="1:17" x14ac:dyDescent="0.25">
      <c r="A29" s="10" t="s">
        <v>84</v>
      </c>
      <c r="B29" s="11">
        <v>321580</v>
      </c>
      <c r="C29" s="11">
        <v>559850</v>
      </c>
      <c r="D29" s="11">
        <v>244160</v>
      </c>
      <c r="F29" s="10" t="s">
        <v>63</v>
      </c>
      <c r="G29" s="11">
        <v>6402950</v>
      </c>
    </row>
    <row r="30" spans="1:17" x14ac:dyDescent="0.25">
      <c r="A30" s="10" t="s">
        <v>82</v>
      </c>
      <c r="B30" s="11">
        <v>220360</v>
      </c>
      <c r="C30" s="11">
        <v>788990</v>
      </c>
      <c r="D30" s="11">
        <v>192600</v>
      </c>
      <c r="F30" s="10" t="s">
        <v>72</v>
      </c>
      <c r="G30" s="23">
        <v>105587420</v>
      </c>
    </row>
    <row r="31" spans="1:17" x14ac:dyDescent="0.25">
      <c r="A31" s="10" t="s">
        <v>86</v>
      </c>
      <c r="B31" s="11">
        <v>743240</v>
      </c>
      <c r="C31" s="11">
        <v>176230</v>
      </c>
      <c r="D31" s="11">
        <v>206580</v>
      </c>
    </row>
    <row r="32" spans="1:17" x14ac:dyDescent="0.25">
      <c r="A32" s="10" t="s">
        <v>83</v>
      </c>
      <c r="B32" s="11">
        <v>655550</v>
      </c>
      <c r="C32" s="11">
        <v>214350</v>
      </c>
      <c r="D32" s="11">
        <v>228450</v>
      </c>
    </row>
    <row r="33" spans="1:4" x14ac:dyDescent="0.25">
      <c r="A33" s="10" t="s">
        <v>80</v>
      </c>
      <c r="B33" s="11">
        <v>314660</v>
      </c>
      <c r="C33" s="11">
        <v>426910</v>
      </c>
      <c r="D33" s="11">
        <v>374450</v>
      </c>
    </row>
    <row r="34" spans="1:4" x14ac:dyDescent="0.25">
      <c r="A34" s="10" t="s">
        <v>79</v>
      </c>
      <c r="B34" s="11">
        <v>639550</v>
      </c>
      <c r="C34" s="11">
        <v>308110</v>
      </c>
      <c r="D34" s="11">
        <v>210230</v>
      </c>
    </row>
    <row r="35" spans="1:4" x14ac:dyDescent="0.25">
      <c r="A35" s="10" t="s">
        <v>81</v>
      </c>
      <c r="B35" s="11">
        <v>181710</v>
      </c>
      <c r="C35" s="11">
        <v>750100</v>
      </c>
      <c r="D35" s="11">
        <v>314100</v>
      </c>
    </row>
    <row r="38" spans="1:4" x14ac:dyDescent="0.25">
      <c r="B38" s="22" t="s">
        <v>91</v>
      </c>
    </row>
    <row r="39" spans="1:4" x14ac:dyDescent="0.25">
      <c r="A39" s="10" t="s">
        <v>66</v>
      </c>
      <c r="B39" s="15">
        <v>25872</v>
      </c>
    </row>
    <row r="40" spans="1:4" x14ac:dyDescent="0.25">
      <c r="A40" s="10" t="s">
        <v>67</v>
      </c>
      <c r="B40" s="15">
        <v>25811</v>
      </c>
    </row>
    <row r="41" spans="1:4" x14ac:dyDescent="0.25">
      <c r="A41" s="10" t="s">
        <v>63</v>
      </c>
      <c r="B41" s="15">
        <v>25743</v>
      </c>
    </row>
    <row r="42" spans="1:4" x14ac:dyDescent="0.25">
      <c r="A42" s="10" t="s">
        <v>65</v>
      </c>
      <c r="B42" s="15">
        <v>25681</v>
      </c>
    </row>
    <row r="43" spans="1:4" x14ac:dyDescent="0.25">
      <c r="A43" s="10" t="s">
        <v>68</v>
      </c>
      <c r="B43" s="15">
        <v>25381</v>
      </c>
    </row>
    <row r="44" spans="1:4" x14ac:dyDescent="0.25">
      <c r="A44" s="10" t="s">
        <v>69</v>
      </c>
      <c r="B44" s="15">
        <v>24666</v>
      </c>
    </row>
    <row r="46" spans="1:4" x14ac:dyDescent="0.25">
      <c r="B46" s="17"/>
    </row>
    <row r="47" spans="1:4" x14ac:dyDescent="0.25">
      <c r="B47" s="17"/>
    </row>
    <row r="48" spans="1:4" ht="13" x14ac:dyDescent="0.3">
      <c r="A48" s="8" t="s">
        <v>99</v>
      </c>
      <c r="B48" s="18" t="str">
        <f>A39</f>
        <v>Eagle Lager</v>
      </c>
    </row>
  </sheetData>
  <mergeCells count="5">
    <mergeCell ref="N1:R1"/>
    <mergeCell ref="F21:J21"/>
    <mergeCell ref="A1:D1"/>
    <mergeCell ref="A14:D14"/>
    <mergeCell ref="A21:D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8B06A-F1D3-4FF9-8C40-02556492B912}">
  <dimension ref="A1:T24"/>
  <sheetViews>
    <sheetView zoomScale="81" workbookViewId="0">
      <selection activeCell="B11" sqref="B11"/>
    </sheetView>
  </sheetViews>
  <sheetFormatPr defaultRowHeight="12.5" x14ac:dyDescent="0.25"/>
  <cols>
    <col min="1" max="1" width="11.7265625" bestFit="1" customWidth="1"/>
    <col min="2" max="2" width="13.90625" bestFit="1" customWidth="1"/>
  </cols>
  <sheetData>
    <row r="1" spans="1:20" x14ac:dyDescent="0.25">
      <c r="A1" s="9" t="s">
        <v>89</v>
      </c>
      <c r="B1" s="12" t="s">
        <v>90</v>
      </c>
    </row>
    <row r="2" spans="1:20" x14ac:dyDescent="0.25">
      <c r="A2" s="10" t="s">
        <v>69</v>
      </c>
      <c r="B2" s="15">
        <v>24666</v>
      </c>
    </row>
    <row r="3" spans="1:20" ht="28" x14ac:dyDescent="0.6">
      <c r="A3" s="10" t="s">
        <v>68</v>
      </c>
      <c r="B3" s="15">
        <v>25381</v>
      </c>
      <c r="T3" s="16"/>
    </row>
    <row r="4" spans="1:20" x14ac:dyDescent="0.25">
      <c r="A4" s="10" t="s">
        <v>65</v>
      </c>
      <c r="B4" s="15">
        <v>25681</v>
      </c>
    </row>
    <row r="5" spans="1:20" ht="13" x14ac:dyDescent="0.3">
      <c r="A5" s="10" t="s">
        <v>63</v>
      </c>
      <c r="B5" s="15">
        <v>25743</v>
      </c>
      <c r="T5" s="8"/>
    </row>
    <row r="6" spans="1:20" ht="13" x14ac:dyDescent="0.3">
      <c r="A6" s="10" t="s">
        <v>67</v>
      </c>
      <c r="B6" s="15">
        <v>25811</v>
      </c>
      <c r="T6" s="8"/>
    </row>
    <row r="7" spans="1:20" ht="13" x14ac:dyDescent="0.3">
      <c r="A7" s="10" t="s">
        <v>66</v>
      </c>
      <c r="B7" s="15">
        <v>25872</v>
      </c>
      <c r="T7" s="8"/>
    </row>
    <row r="8" spans="1:20" ht="13" x14ac:dyDescent="0.3">
      <c r="T8" s="8"/>
    </row>
    <row r="9" spans="1:20" ht="13" x14ac:dyDescent="0.3">
      <c r="T9" s="8"/>
    </row>
    <row r="11" spans="1:20" ht="13" x14ac:dyDescent="0.3">
      <c r="A11" s="26" t="s">
        <v>103</v>
      </c>
      <c r="B11" s="15">
        <f>SUM(B2:B8)</f>
        <v>153154</v>
      </c>
    </row>
    <row r="17" spans="1:2" x14ac:dyDescent="0.25">
      <c r="A17" s="9" t="s">
        <v>95</v>
      </c>
      <c r="B17" s="12" t="s">
        <v>90</v>
      </c>
    </row>
    <row r="18" spans="1:2" x14ac:dyDescent="0.25">
      <c r="A18" s="10" t="s">
        <v>62</v>
      </c>
      <c r="B18" s="15">
        <v>25369</v>
      </c>
    </row>
    <row r="19" spans="1:2" x14ac:dyDescent="0.25">
      <c r="A19" s="10" t="s">
        <v>61</v>
      </c>
      <c r="B19" s="15">
        <v>26174</v>
      </c>
    </row>
    <row r="20" spans="1:2" x14ac:dyDescent="0.25">
      <c r="A20" s="10" t="s">
        <v>60</v>
      </c>
      <c r="B20" s="15">
        <v>24898</v>
      </c>
    </row>
    <row r="21" spans="1:2" x14ac:dyDescent="0.25">
      <c r="A21" s="10" t="s">
        <v>15</v>
      </c>
      <c r="B21" s="15">
        <v>25933</v>
      </c>
    </row>
    <row r="22" spans="1:2" x14ac:dyDescent="0.25">
      <c r="A22" s="10" t="s">
        <v>59</v>
      </c>
      <c r="B22" s="15">
        <v>25918</v>
      </c>
    </row>
    <row r="23" spans="1:2" x14ac:dyDescent="0.25">
      <c r="A23" s="10" t="s">
        <v>20</v>
      </c>
      <c r="B23" s="15">
        <v>24862</v>
      </c>
    </row>
    <row r="24" spans="1:2" x14ac:dyDescent="0.25">
      <c r="A24" s="10" t="s">
        <v>72</v>
      </c>
      <c r="B24" s="15">
        <v>153154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B5A4-591F-477B-9C9F-7C263B5F7983}">
  <dimension ref="A1"/>
  <sheetViews>
    <sheetView showGridLines="0" tabSelected="1" topLeftCell="A2" zoomScale="92" workbookViewId="0">
      <selection activeCell="T44" sqref="T44"/>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Home Page</vt:lpstr>
      <vt:lpstr>Instructions</vt:lpstr>
      <vt:lpstr>International_Breweries</vt:lpstr>
      <vt:lpstr>Countries_Analysis</vt:lpstr>
      <vt:lpstr>Profit_Analysis</vt:lpstr>
      <vt:lpstr>Brand_Analysis</vt:lpstr>
      <vt:lpstr>Chart_Sheet</vt:lpstr>
      <vt:lpstr>Avg_Order_Value</vt:lpstr>
      <vt:lpstr>Most_Consumed_Brand</vt:lpstr>
      <vt:lpstr>Northcentral</vt:lpstr>
      <vt:lpstr>Northeast</vt:lpstr>
      <vt:lpstr>Northwest</vt:lpstr>
      <vt:lpstr>Quantity_Sold</vt:lpstr>
      <vt:lpstr>Southeast</vt:lpstr>
      <vt:lpstr>Southsouth</vt:lpstr>
      <vt:lpstr>Top_Profitable_Country</vt:lpstr>
      <vt:lpstr>Total_Profit</vt:lpstr>
      <vt:lpstr>Total_Revenue</vt:lpstr>
      <vt:lpstr>west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Dayo Pelumi</dc:creator>
  <cp:lastModifiedBy>kehinde adekola</cp:lastModifiedBy>
  <dcterms:created xsi:type="dcterms:W3CDTF">2024-02-01T15:57:24Z</dcterms:created>
  <dcterms:modified xsi:type="dcterms:W3CDTF">2026-10-14T15:17:21Z</dcterms:modified>
</cp:coreProperties>
</file>